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ben\Documents\"/>
    </mc:Choice>
  </mc:AlternateContent>
  <xr:revisionPtr revIDLastSave="0" documentId="13_ncr:1_{559FF078-66BB-4665-8422-E163D4624D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BK" sheetId="2" r:id="rId1"/>
  </sheets>
  <calcPr calcId="191029" iterate="1" iterateCount="5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2" l="1"/>
  <c r="B18" i="2"/>
  <c r="G3" i="2" s="1"/>
  <c r="B11" i="2"/>
  <c r="B9" i="2"/>
  <c r="K2" i="2"/>
  <c r="E3" i="2" l="1"/>
  <c r="B22" i="2"/>
  <c r="H3" i="2"/>
  <c r="I3" i="2"/>
  <c r="E4" i="2"/>
  <c r="G4" i="2"/>
  <c r="J3" i="2" l="1"/>
  <c r="L3" i="2" s="1"/>
  <c r="E5" i="2"/>
  <c r="G5" i="2"/>
  <c r="K3" i="2" l="1"/>
  <c r="I4" i="2" s="1"/>
  <c r="E6" i="2"/>
  <c r="G6" i="2"/>
  <c r="H4" i="2" l="1"/>
  <c r="J4" i="2" s="1"/>
  <c r="L4" i="2" s="1"/>
  <c r="G7" i="2"/>
  <c r="E7" i="2"/>
  <c r="K4" i="2" l="1"/>
  <c r="G8" i="2"/>
  <c r="E8" i="2"/>
  <c r="H5" i="2"/>
  <c r="I5" i="2"/>
  <c r="J5" i="2" l="1"/>
  <c r="G9" i="2"/>
  <c r="E9" i="2"/>
  <c r="G10" i="2" l="1"/>
  <c r="E10" i="2"/>
  <c r="K5" i="2"/>
  <c r="L5" i="2"/>
  <c r="I6" i="2" l="1"/>
  <c r="H6" i="2"/>
  <c r="J6" i="2" s="1"/>
  <c r="L6" i="2" s="1"/>
  <c r="G11" i="2"/>
  <c r="E11" i="2"/>
  <c r="G12" i="2" l="1"/>
  <c r="E12" i="2"/>
  <c r="K6" i="2"/>
  <c r="H7" i="2" l="1"/>
  <c r="I7" i="2"/>
  <c r="G13" i="2"/>
  <c r="E13" i="2"/>
  <c r="J7" i="2" l="1"/>
  <c r="L7" i="2" s="1"/>
  <c r="G14" i="2"/>
  <c r="E14" i="2"/>
  <c r="K7" i="2" l="1"/>
  <c r="I8" i="2" s="1"/>
  <c r="E15" i="2"/>
  <c r="G15" i="2"/>
  <c r="H8" i="2" l="1"/>
  <c r="J8" i="2" s="1"/>
  <c r="L8" i="2" s="1"/>
  <c r="E16" i="2"/>
  <c r="G16" i="2"/>
  <c r="K8" i="2" l="1"/>
  <c r="H9" i="2" s="1"/>
  <c r="G17" i="2"/>
  <c r="E17" i="2"/>
  <c r="I9" i="2" l="1"/>
  <c r="J9" i="2" s="1"/>
  <c r="L9" i="2" s="1"/>
  <c r="E18" i="2"/>
  <c r="G18" i="2"/>
  <c r="K9" i="2" l="1"/>
  <c r="H10" i="2" s="1"/>
  <c r="G19" i="2"/>
  <c r="E19" i="2"/>
  <c r="I10" i="2" l="1"/>
  <c r="J10" i="2" s="1"/>
  <c r="L10" i="2" s="1"/>
  <c r="G20" i="2"/>
  <c r="E20" i="2"/>
  <c r="K10" i="2" l="1"/>
  <c r="I11" i="2" s="1"/>
  <c r="E21" i="2"/>
  <c r="G21" i="2"/>
  <c r="H11" i="2" l="1"/>
  <c r="J11" i="2" s="1"/>
  <c r="L11" i="2" s="1"/>
  <c r="G22" i="2"/>
  <c r="E22" i="2"/>
  <c r="K11" i="2" l="1"/>
  <c r="H12" i="2" s="1"/>
  <c r="G23" i="2"/>
  <c r="E23" i="2"/>
  <c r="I12" i="2" l="1"/>
  <c r="J12" i="2" s="1"/>
  <c r="G24" i="2"/>
  <c r="E24" i="2"/>
  <c r="L12" i="2" l="1"/>
  <c r="K12" i="2"/>
  <c r="G25" i="2"/>
  <c r="E25" i="2"/>
  <c r="G26" i="2" l="1"/>
  <c r="E26" i="2"/>
  <c r="I13" i="2"/>
  <c r="H13" i="2"/>
  <c r="J13" i="2" s="1"/>
  <c r="L13" i="2" s="1"/>
  <c r="K13" i="2" l="1"/>
  <c r="G27" i="2"/>
  <c r="E27" i="2"/>
  <c r="G28" i="2" l="1"/>
  <c r="E28" i="2"/>
  <c r="H14" i="2"/>
  <c r="I14" i="2"/>
  <c r="J14" i="2" l="1"/>
  <c r="L14" i="2" s="1"/>
  <c r="E29" i="2"/>
  <c r="G29" i="2"/>
  <c r="K14" i="2" l="1"/>
  <c r="B23" i="2" s="1"/>
  <c r="G30" i="2"/>
  <c r="E30" i="2"/>
  <c r="I15" i="2" l="1"/>
  <c r="H15" i="2"/>
  <c r="E31" i="2"/>
  <c r="G31" i="2"/>
  <c r="J15" i="2" l="1"/>
  <c r="L15" i="2" s="1"/>
  <c r="G32" i="2"/>
  <c r="E32" i="2"/>
  <c r="K15" i="2" l="1"/>
  <c r="I16" i="2" s="1"/>
  <c r="G33" i="2"/>
  <c r="E33" i="2"/>
  <c r="H16" i="2" l="1"/>
  <c r="J16" i="2" s="1"/>
  <c r="L16" i="2" s="1"/>
  <c r="E34" i="2"/>
  <c r="G34" i="2"/>
  <c r="K16" i="2" l="1"/>
  <c r="I17" i="2" s="1"/>
  <c r="G35" i="2"/>
  <c r="E35" i="2"/>
  <c r="H17" i="2" l="1"/>
  <c r="J17" i="2" s="1"/>
  <c r="L17" i="2" s="1"/>
  <c r="G36" i="2"/>
  <c r="E36" i="2"/>
  <c r="K17" i="2" l="1"/>
  <c r="H18" i="2" s="1"/>
  <c r="E37" i="2"/>
  <c r="G37" i="2"/>
  <c r="I18" i="2" l="1"/>
  <c r="J18" i="2" s="1"/>
  <c r="L18" i="2" s="1"/>
  <c r="E38" i="2"/>
  <c r="G38" i="2"/>
  <c r="K18" i="2" l="1"/>
  <c r="H19" i="2" s="1"/>
  <c r="G39" i="2"/>
  <c r="E39" i="2"/>
  <c r="I19" i="2" l="1"/>
  <c r="J19" i="2" s="1"/>
  <c r="L19" i="2" s="1"/>
  <c r="G40" i="2"/>
  <c r="E40" i="2"/>
  <c r="K19" i="2" l="1"/>
  <c r="H20" i="2" s="1"/>
  <c r="E41" i="2"/>
  <c r="G41" i="2"/>
  <c r="I20" i="2" l="1"/>
  <c r="J20" i="2" s="1"/>
  <c r="L20" i="2" s="1"/>
  <c r="G42" i="2"/>
  <c r="E42" i="2"/>
  <c r="K20" i="2" l="1"/>
  <c r="I21" i="2" s="1"/>
  <c r="G43" i="2"/>
  <c r="E43" i="2"/>
  <c r="H21" i="2" l="1"/>
  <c r="J21" i="2" s="1"/>
  <c r="L21" i="2" s="1"/>
  <c r="G44" i="2"/>
  <c r="E44" i="2"/>
  <c r="K21" i="2" l="1"/>
  <c r="I22" i="2" s="1"/>
  <c r="E45" i="2"/>
  <c r="G45" i="2"/>
  <c r="H22" i="2" l="1"/>
  <c r="J22" i="2" s="1"/>
  <c r="L22" i="2" s="1"/>
  <c r="E46" i="2"/>
  <c r="G46" i="2"/>
  <c r="K22" i="2" l="1"/>
  <c r="H23" i="2" s="1"/>
  <c r="E47" i="2"/>
  <c r="G47" i="2"/>
  <c r="I23" i="2" l="1"/>
  <c r="J23" i="2" s="1"/>
  <c r="L23" i="2" s="1"/>
  <c r="G48" i="2"/>
  <c r="E48" i="2"/>
  <c r="K23" i="2" l="1"/>
  <c r="I24" i="2" s="1"/>
  <c r="G49" i="2"/>
  <c r="E49" i="2"/>
  <c r="H24" i="2" l="1"/>
  <c r="J24" i="2" s="1"/>
  <c r="G50" i="2"/>
  <c r="E50" i="2"/>
  <c r="K24" i="2" l="1"/>
  <c r="L24" i="2"/>
  <c r="G51" i="2"/>
  <c r="E51" i="2"/>
  <c r="H25" i="2" l="1"/>
  <c r="I25" i="2"/>
  <c r="G52" i="2"/>
  <c r="E52" i="2"/>
  <c r="J25" i="2" l="1"/>
  <c r="K25" i="2" s="1"/>
  <c r="H26" i="2" s="1"/>
  <c r="I26" i="2"/>
  <c r="E53" i="2"/>
  <c r="G53" i="2"/>
  <c r="J26" i="2" l="1"/>
  <c r="K26" i="2" s="1"/>
  <c r="I27" i="2" s="1"/>
  <c r="L25" i="2"/>
  <c r="L26" i="2"/>
  <c r="H27" i="2"/>
  <c r="J27" i="2" s="1"/>
  <c r="K27" i="2" s="1"/>
  <c r="I28" i="2" s="1"/>
  <c r="G54" i="2"/>
  <c r="E54" i="2"/>
  <c r="H28" i="2" l="1"/>
  <c r="J28" i="2" s="1"/>
  <c r="K28" i="2" s="1"/>
  <c r="L27" i="2"/>
  <c r="G55" i="2"/>
  <c r="E55" i="2"/>
  <c r="L28" i="2" l="1"/>
  <c r="I29" i="2"/>
  <c r="H29" i="2"/>
  <c r="J29" i="2" s="1"/>
  <c r="G56" i="2"/>
  <c r="E56" i="2"/>
  <c r="K29" i="2" l="1"/>
  <c r="L29" i="2"/>
  <c r="E57" i="2"/>
  <c r="G57" i="2"/>
  <c r="H30" i="2" l="1"/>
  <c r="I30" i="2"/>
  <c r="G58" i="2"/>
  <c r="E58" i="2"/>
  <c r="J30" i="2" l="1"/>
  <c r="K30" i="2" s="1"/>
  <c r="H31" i="2" s="1"/>
  <c r="G59" i="2"/>
  <c r="E59" i="2"/>
  <c r="L30" i="2" l="1"/>
  <c r="I31" i="2"/>
  <c r="J31" i="2" s="1"/>
  <c r="G60" i="2"/>
  <c r="E60" i="2"/>
  <c r="K31" i="2" l="1"/>
  <c r="L31" i="2"/>
  <c r="G61" i="2"/>
  <c r="E61" i="2"/>
  <c r="I32" i="2" l="1"/>
  <c r="H32" i="2"/>
  <c r="J32" i="2" s="1"/>
  <c r="G62" i="2"/>
  <c r="E62" i="2"/>
  <c r="K32" i="2" l="1"/>
  <c r="L32" i="2"/>
  <c r="E63" i="2"/>
  <c r="G63" i="2"/>
  <c r="H33" i="2" l="1"/>
  <c r="I33" i="2"/>
  <c r="E64" i="2"/>
  <c r="G64" i="2"/>
  <c r="J33" i="2" l="1"/>
  <c r="G65" i="2"/>
  <c r="E65" i="2"/>
  <c r="L33" i="2" l="1"/>
  <c r="K33" i="2"/>
  <c r="G66" i="2"/>
  <c r="E66" i="2"/>
  <c r="I34" i="2" l="1"/>
  <c r="H34" i="2"/>
  <c r="G67" i="2"/>
  <c r="E67" i="2"/>
  <c r="J34" i="2" l="1"/>
  <c r="L34" i="2" s="1"/>
  <c r="E68" i="2"/>
  <c r="G68" i="2"/>
  <c r="K34" i="2" l="1"/>
  <c r="H35" i="2" s="1"/>
  <c r="G69" i="2"/>
  <c r="E69" i="2"/>
  <c r="I35" i="2" l="1"/>
  <c r="J35" i="2" s="1"/>
  <c r="L35" i="2" s="1"/>
  <c r="G70" i="2"/>
  <c r="E70" i="2"/>
  <c r="K35" i="2" l="1"/>
  <c r="I36" i="2" s="1"/>
  <c r="G71" i="2"/>
  <c r="E71" i="2"/>
  <c r="H36" i="2" l="1"/>
  <c r="J36" i="2" s="1"/>
  <c r="L36" i="2" s="1"/>
  <c r="G72" i="2"/>
  <c r="E72" i="2"/>
  <c r="K36" i="2" l="1"/>
  <c r="I37" i="2" s="1"/>
  <c r="G73" i="2"/>
  <c r="E73" i="2"/>
  <c r="H37" i="2" l="1"/>
  <c r="J37" i="2" s="1"/>
  <c r="L37" i="2" s="1"/>
  <c r="G74" i="2"/>
  <c r="E74" i="2"/>
  <c r="K37" i="2" l="1"/>
  <c r="H38" i="2" s="1"/>
  <c r="G75" i="2"/>
  <c r="E75" i="2"/>
  <c r="I38" i="2" l="1"/>
  <c r="J38" i="2" s="1"/>
  <c r="L38" i="2" s="1"/>
  <c r="G76" i="2"/>
  <c r="E76" i="2"/>
  <c r="K38" i="2" l="1"/>
  <c r="H39" i="2" s="1"/>
  <c r="G77" i="2"/>
  <c r="E77" i="2"/>
  <c r="I39" i="2" l="1"/>
  <c r="J39" i="2" s="1"/>
  <c r="L39" i="2" s="1"/>
  <c r="G78" i="2"/>
  <c r="E78" i="2"/>
  <c r="K39" i="2" l="1"/>
  <c r="H40" i="2" s="1"/>
  <c r="G79" i="2"/>
  <c r="E79" i="2"/>
  <c r="I40" i="2" l="1"/>
  <c r="J40" i="2" s="1"/>
  <c r="G80" i="2"/>
  <c r="E80" i="2"/>
  <c r="L40" i="2" l="1"/>
  <c r="K40" i="2"/>
  <c r="I41" i="2" s="1"/>
  <c r="G81" i="2"/>
  <c r="E81" i="2"/>
  <c r="H41" i="2" l="1"/>
  <c r="J41" i="2" s="1"/>
  <c r="G82" i="2"/>
  <c r="E82" i="2"/>
  <c r="L41" i="2" l="1"/>
  <c r="K41" i="2"/>
  <c r="I42" i="2" s="1"/>
  <c r="G83" i="2"/>
  <c r="E83" i="2"/>
  <c r="H42" i="2" l="1"/>
  <c r="J42" i="2" s="1"/>
  <c r="E84" i="2"/>
  <c r="G84" i="2"/>
  <c r="L42" i="2" l="1"/>
  <c r="K42" i="2"/>
  <c r="I43" i="2" s="1"/>
  <c r="G85" i="2"/>
  <c r="E85" i="2"/>
  <c r="H43" i="2" l="1"/>
  <c r="J43" i="2" s="1"/>
  <c r="G86" i="2"/>
  <c r="E86" i="2"/>
  <c r="L43" i="2" l="1"/>
  <c r="K43" i="2"/>
  <c r="I44" i="2" s="1"/>
  <c r="G87" i="2"/>
  <c r="E87" i="2"/>
  <c r="H44" i="2" l="1"/>
  <c r="J44" i="2" s="1"/>
  <c r="G88" i="2"/>
  <c r="E88" i="2"/>
  <c r="K44" i="2" l="1"/>
  <c r="H45" i="2" s="1"/>
  <c r="L44" i="2"/>
  <c r="G89" i="2"/>
  <c r="E89" i="2"/>
  <c r="I45" i="2" l="1"/>
  <c r="J45" i="2" s="1"/>
  <c r="K45" i="2" s="1"/>
  <c r="I46" i="2" s="1"/>
  <c r="G90" i="2"/>
  <c r="E90" i="2"/>
  <c r="L45" i="2" l="1"/>
  <c r="H46" i="2"/>
  <c r="J46" i="2" s="1"/>
  <c r="E91" i="2"/>
  <c r="G91" i="2"/>
  <c r="K46" i="2" l="1"/>
  <c r="L46" i="2"/>
  <c r="G92" i="2"/>
  <c r="E92" i="2"/>
  <c r="I47" i="2" l="1"/>
  <c r="H47" i="2"/>
  <c r="J47" i="2" s="1"/>
  <c r="G93" i="2"/>
  <c r="E93" i="2"/>
  <c r="K47" i="2" l="1"/>
  <c r="L47" i="2"/>
  <c r="E94" i="2"/>
  <c r="G94" i="2"/>
  <c r="H48" i="2" l="1"/>
  <c r="I48" i="2"/>
  <c r="G95" i="2"/>
  <c r="E95" i="2"/>
  <c r="J48" i="2" l="1"/>
  <c r="K48" i="2" s="1"/>
  <c r="E96" i="2"/>
  <c r="G96" i="2"/>
  <c r="L48" i="2" l="1"/>
  <c r="H49" i="2"/>
  <c r="I49" i="2"/>
  <c r="G97" i="2"/>
  <c r="E97" i="2"/>
  <c r="J49" i="2" l="1"/>
  <c r="K49" i="2" s="1"/>
  <c r="I50" i="2" s="1"/>
  <c r="G98" i="2"/>
  <c r="E98" i="2"/>
  <c r="L49" i="2" l="1"/>
  <c r="H50" i="2"/>
  <c r="J50" i="2" s="1"/>
  <c r="G99" i="2"/>
  <c r="E99" i="2"/>
  <c r="K50" i="2" l="1"/>
  <c r="L50" i="2"/>
  <c r="E100" i="2"/>
  <c r="G100" i="2"/>
  <c r="I51" i="2" l="1"/>
  <c r="H51" i="2"/>
  <c r="G101" i="2"/>
  <c r="E101" i="2"/>
  <c r="J51" i="2" l="1"/>
  <c r="K51" i="2" s="1"/>
  <c r="G102" i="2"/>
  <c r="E102" i="2"/>
  <c r="L51" i="2" l="1"/>
  <c r="H52" i="2"/>
  <c r="I52" i="2"/>
  <c r="E103" i="2"/>
  <c r="G103" i="2"/>
  <c r="J52" i="2" l="1"/>
  <c r="L52" i="2" s="1"/>
  <c r="G104" i="2"/>
  <c r="E104" i="2"/>
  <c r="K52" i="2" l="1"/>
  <c r="H53" i="2" s="1"/>
  <c r="G105" i="2"/>
  <c r="E105" i="2"/>
  <c r="I53" i="2" l="1"/>
  <c r="J53" i="2" s="1"/>
  <c r="K53" i="2" s="1"/>
  <c r="G106" i="2"/>
  <c r="E106" i="2"/>
  <c r="L53" i="2" l="1"/>
  <c r="I54" i="2"/>
  <c r="H54" i="2"/>
  <c r="J54" i="2" s="1"/>
  <c r="K54" i="2" s="1"/>
  <c r="G107" i="2"/>
  <c r="E107" i="2"/>
  <c r="I55" i="2" l="1"/>
  <c r="H55" i="2"/>
  <c r="L54" i="2"/>
  <c r="E108" i="2"/>
  <c r="G108" i="2"/>
  <c r="J55" i="2" l="1"/>
  <c r="K55" i="2" s="1"/>
  <c r="H56" i="2" s="1"/>
  <c r="G109" i="2"/>
  <c r="E109" i="2"/>
  <c r="L55" i="2" l="1"/>
  <c r="I56" i="2"/>
  <c r="J56" i="2" s="1"/>
  <c r="K56" i="2" s="1"/>
  <c r="E110" i="2"/>
  <c r="G110" i="2"/>
  <c r="H57" i="2" l="1"/>
  <c r="I57" i="2"/>
  <c r="L56" i="2"/>
  <c r="G111" i="2"/>
  <c r="E111" i="2"/>
  <c r="J57" i="2" l="1"/>
  <c r="K57" i="2" s="1"/>
  <c r="I58" i="2" s="1"/>
  <c r="E112" i="2"/>
  <c r="G112" i="2"/>
  <c r="H58" i="2" l="1"/>
  <c r="J58" i="2" s="1"/>
  <c r="K58" i="2" s="1"/>
  <c r="I59" i="2" s="1"/>
  <c r="L57" i="2"/>
  <c r="G113" i="2"/>
  <c r="E113" i="2"/>
  <c r="H59" i="2" l="1"/>
  <c r="J59" i="2" s="1"/>
  <c r="K59" i="2" s="1"/>
  <c r="L58" i="2"/>
  <c r="G114" i="2"/>
  <c r="E114" i="2"/>
  <c r="L59" i="2" l="1"/>
  <c r="I60" i="2"/>
  <c r="H60" i="2"/>
  <c r="G115" i="2"/>
  <c r="E115" i="2"/>
  <c r="J60" i="2" l="1"/>
  <c r="E116" i="2"/>
  <c r="G116" i="2"/>
  <c r="K60" i="2" l="1"/>
  <c r="L60" i="2"/>
  <c r="E117" i="2"/>
  <c r="G117" i="2"/>
  <c r="I61" i="2" l="1"/>
  <c r="H61" i="2"/>
  <c r="G118" i="2"/>
  <c r="E118" i="2"/>
  <c r="J61" i="2" l="1"/>
  <c r="K61" i="2" s="1"/>
  <c r="H62" i="2" s="1"/>
  <c r="G119" i="2"/>
  <c r="E119" i="2"/>
  <c r="I62" i="2" l="1"/>
  <c r="J62" i="2" s="1"/>
  <c r="L61" i="2"/>
  <c r="G120" i="2"/>
  <c r="E120" i="2"/>
  <c r="K62" i="2" l="1"/>
  <c r="L62" i="2"/>
  <c r="E121" i="2"/>
  <c r="G121" i="2"/>
  <c r="I63" i="2" l="1"/>
  <c r="H63" i="2"/>
  <c r="J63" i="2" s="1"/>
  <c r="L63" i="2" s="1"/>
  <c r="G122" i="2"/>
  <c r="E122" i="2"/>
  <c r="K63" i="2" l="1"/>
  <c r="I64" i="2" s="1"/>
  <c r="G123" i="2"/>
  <c r="E123" i="2"/>
  <c r="H64" i="2" l="1"/>
  <c r="J64" i="2" s="1"/>
  <c r="E124" i="2"/>
  <c r="G124" i="2"/>
  <c r="L64" i="2" l="1"/>
  <c r="K64" i="2"/>
  <c r="G125" i="2"/>
  <c r="E125" i="2"/>
  <c r="H65" i="2" l="1"/>
  <c r="I65" i="2"/>
  <c r="G126" i="2"/>
  <c r="E126" i="2"/>
  <c r="J65" i="2" l="1"/>
  <c r="K65" i="2" s="1"/>
  <c r="I66" i="2" s="1"/>
  <c r="G127" i="2"/>
  <c r="E127" i="2"/>
  <c r="H66" i="2" l="1"/>
  <c r="J66" i="2" s="1"/>
  <c r="K66" i="2" s="1"/>
  <c r="L65" i="2"/>
  <c r="E128" i="2"/>
  <c r="G128" i="2"/>
  <c r="L66" i="2" l="1"/>
  <c r="I67" i="2"/>
  <c r="H67" i="2"/>
  <c r="J67" i="2" s="1"/>
  <c r="L67" i="2" s="1"/>
  <c r="E129" i="2"/>
  <c r="G129" i="2"/>
  <c r="K67" i="2" l="1"/>
  <c r="I68" i="2" s="1"/>
  <c r="G130" i="2"/>
  <c r="E130" i="2"/>
  <c r="H68" i="2" l="1"/>
  <c r="J68" i="2" s="1"/>
  <c r="L68" i="2" s="1"/>
  <c r="G131" i="2"/>
  <c r="E131" i="2"/>
  <c r="K68" i="2" l="1"/>
  <c r="I69" i="2" s="1"/>
  <c r="G132" i="2"/>
  <c r="E132" i="2"/>
  <c r="H69" i="2" l="1"/>
  <c r="J69" i="2" s="1"/>
  <c r="K69" i="2" s="1"/>
  <c r="G133" i="2"/>
  <c r="E133" i="2"/>
  <c r="I70" i="2" l="1"/>
  <c r="H70" i="2"/>
  <c r="L69" i="2"/>
  <c r="E134" i="2"/>
  <c r="G134" i="2"/>
  <c r="J70" i="2" l="1"/>
  <c r="K70" i="2" s="1"/>
  <c r="G135" i="2"/>
  <c r="E135" i="2"/>
  <c r="L70" i="2" l="1"/>
  <c r="I71" i="2"/>
  <c r="H71" i="2"/>
  <c r="J71" i="2" s="1"/>
  <c r="G136" i="2"/>
  <c r="E136" i="2"/>
  <c r="K71" i="2" l="1"/>
  <c r="L71" i="2"/>
  <c r="G137" i="2"/>
  <c r="E137" i="2"/>
  <c r="I72" i="2" l="1"/>
  <c r="H72" i="2"/>
  <c r="G138" i="2"/>
  <c r="E138" i="2"/>
  <c r="J72" i="2" l="1"/>
  <c r="K72" i="2" s="1"/>
  <c r="I73" i="2" s="1"/>
  <c r="G139" i="2"/>
  <c r="E139" i="2"/>
  <c r="L72" i="2" l="1"/>
  <c r="H73" i="2"/>
  <c r="J73" i="2" s="1"/>
  <c r="K73" i="2" s="1"/>
  <c r="I74" i="2" s="1"/>
  <c r="E140" i="2"/>
  <c r="G140" i="2"/>
  <c r="H74" i="2" l="1"/>
  <c r="J74" i="2" s="1"/>
  <c r="K74" i="2" s="1"/>
  <c r="B24" i="2" s="1"/>
  <c r="L73" i="2"/>
  <c r="E141" i="2"/>
  <c r="G141" i="2"/>
  <c r="L74" i="2" l="1"/>
  <c r="I75" i="2"/>
  <c r="H75" i="2"/>
  <c r="J75" i="2" s="1"/>
  <c r="K75" i="2" s="1"/>
  <c r="G142" i="2"/>
  <c r="E142" i="2"/>
  <c r="I76" i="2" l="1"/>
  <c r="H76" i="2"/>
  <c r="J76" i="2" s="1"/>
  <c r="K76" i="2" s="1"/>
  <c r="L75" i="2"/>
  <c r="E143" i="2"/>
  <c r="G143" i="2"/>
  <c r="H77" i="2" l="1"/>
  <c r="I77" i="2"/>
  <c r="L76" i="2"/>
  <c r="G144" i="2"/>
  <c r="E144" i="2"/>
  <c r="J77" i="2" l="1"/>
  <c r="K77" i="2" s="1"/>
  <c r="G145" i="2"/>
  <c r="E145" i="2"/>
  <c r="H78" i="2" l="1"/>
  <c r="I78" i="2"/>
  <c r="L77" i="2"/>
  <c r="E146" i="2"/>
  <c r="G146" i="2"/>
  <c r="J78" i="2" l="1"/>
  <c r="E147" i="2"/>
  <c r="G147" i="2"/>
  <c r="L78" i="2" l="1"/>
  <c r="K78" i="2"/>
  <c r="E148" i="2"/>
  <c r="G148" i="2"/>
  <c r="H79" i="2" l="1"/>
  <c r="I79" i="2"/>
  <c r="G149" i="2"/>
  <c r="E149" i="2"/>
  <c r="J79" i="2" l="1"/>
  <c r="K79" i="2" s="1"/>
  <c r="G150" i="2"/>
  <c r="E150" i="2"/>
  <c r="L79" i="2" l="1"/>
  <c r="I80" i="2"/>
  <c r="H80" i="2"/>
  <c r="J80" i="2" s="1"/>
  <c r="G151" i="2"/>
  <c r="E151" i="2"/>
  <c r="L80" i="2" l="1"/>
  <c r="K80" i="2"/>
  <c r="G152" i="2"/>
  <c r="E152" i="2"/>
  <c r="H81" i="2" l="1"/>
  <c r="I81" i="2"/>
  <c r="G153" i="2"/>
  <c r="E153" i="2"/>
  <c r="J81" i="2" l="1"/>
  <c r="L81" i="2" s="1"/>
  <c r="E154" i="2"/>
  <c r="G154" i="2"/>
  <c r="K81" i="2" l="1"/>
  <c r="I82" i="2" s="1"/>
  <c r="G155" i="2"/>
  <c r="E155" i="2"/>
  <c r="H82" i="2" l="1"/>
  <c r="J82" i="2" s="1"/>
  <c r="L82" i="2" s="1"/>
  <c r="E156" i="2"/>
  <c r="G156" i="2"/>
  <c r="K82" i="2" l="1"/>
  <c r="I83" i="2" s="1"/>
  <c r="E157" i="2"/>
  <c r="G157" i="2"/>
  <c r="H83" i="2" l="1"/>
  <c r="J83" i="2" s="1"/>
  <c r="L83" i="2" s="1"/>
  <c r="G158" i="2"/>
  <c r="E158" i="2"/>
  <c r="K83" i="2" l="1"/>
  <c r="H84" i="2" s="1"/>
  <c r="G159" i="2"/>
  <c r="E159" i="2"/>
  <c r="I84" i="2" l="1"/>
  <c r="J84" i="2" s="1"/>
  <c r="L84" i="2" s="1"/>
  <c r="G160" i="2"/>
  <c r="E160" i="2"/>
  <c r="K84" i="2" l="1"/>
  <c r="H85" i="2" s="1"/>
  <c r="G161" i="2"/>
  <c r="E161" i="2"/>
  <c r="I85" i="2" l="1"/>
  <c r="J85" i="2" s="1"/>
  <c r="L85" i="2" s="1"/>
  <c r="G162" i="2"/>
  <c r="E162" i="2"/>
  <c r="K85" i="2" l="1"/>
  <c r="I86" i="2" s="1"/>
  <c r="G163" i="2"/>
  <c r="E163" i="2"/>
  <c r="H86" i="2" l="1"/>
  <c r="J86" i="2" s="1"/>
  <c r="L86" i="2" s="1"/>
  <c r="G164" i="2"/>
  <c r="E164" i="2"/>
  <c r="K86" i="2" l="1"/>
  <c r="I87" i="2" s="1"/>
  <c r="G165" i="2"/>
  <c r="E165" i="2"/>
  <c r="H87" i="2" l="1"/>
  <c r="J87" i="2" s="1"/>
  <c r="L87" i="2" s="1"/>
  <c r="G166" i="2"/>
  <c r="E166" i="2"/>
  <c r="K87" i="2" l="1"/>
  <c r="H88" i="2" s="1"/>
  <c r="G167" i="2"/>
  <c r="E167" i="2"/>
  <c r="I88" i="2" l="1"/>
  <c r="J88" i="2" s="1"/>
  <c r="G168" i="2"/>
  <c r="E168" i="2"/>
  <c r="L88" i="2" l="1"/>
  <c r="K88" i="2"/>
  <c r="G169" i="2"/>
  <c r="E169" i="2"/>
  <c r="I89" i="2" l="1"/>
  <c r="H89" i="2"/>
  <c r="E170" i="2"/>
  <c r="G170" i="2"/>
  <c r="J89" i="2" l="1"/>
  <c r="L89" i="2" s="1"/>
  <c r="G171" i="2"/>
  <c r="E171" i="2"/>
  <c r="K89" i="2" l="1"/>
  <c r="I90" i="2" s="1"/>
  <c r="E172" i="2"/>
  <c r="G172" i="2"/>
  <c r="H90" i="2" l="1"/>
  <c r="J90" i="2" s="1"/>
  <c r="L90" i="2" s="1"/>
  <c r="G173" i="2"/>
  <c r="E173" i="2"/>
  <c r="K90" i="2" l="1"/>
  <c r="I91" i="2" s="1"/>
  <c r="G174" i="2"/>
  <c r="E174" i="2"/>
  <c r="H91" i="2" l="1"/>
  <c r="J91" i="2" s="1"/>
  <c r="L91" i="2" s="1"/>
  <c r="G175" i="2"/>
  <c r="E175" i="2"/>
  <c r="K91" i="2" l="1"/>
  <c r="H92" i="2" s="1"/>
  <c r="G176" i="2"/>
  <c r="E176" i="2"/>
  <c r="I92" i="2" l="1"/>
  <c r="J92" i="2" s="1"/>
  <c r="K92" i="2" s="1"/>
  <c r="G177" i="2"/>
  <c r="E177" i="2"/>
  <c r="L92" i="2" l="1"/>
  <c r="I93" i="2"/>
  <c r="H93" i="2"/>
  <c r="J93" i="2" s="1"/>
  <c r="K93" i="2" s="1"/>
  <c r="G178" i="2"/>
  <c r="E178" i="2"/>
  <c r="H94" i="2" l="1"/>
  <c r="I94" i="2"/>
  <c r="L93" i="2"/>
  <c r="G179" i="2"/>
  <c r="E179" i="2"/>
  <c r="J94" i="2" l="1"/>
  <c r="K94" i="2" s="1"/>
  <c r="E180" i="2"/>
  <c r="G180" i="2"/>
  <c r="I95" i="2" l="1"/>
  <c r="H95" i="2"/>
  <c r="L94" i="2"/>
  <c r="G181" i="2"/>
  <c r="E181" i="2"/>
  <c r="J95" i="2" l="1"/>
  <c r="L95" i="2" s="1"/>
  <c r="G182" i="2"/>
  <c r="E182" i="2"/>
  <c r="K95" i="2" l="1"/>
  <c r="H96" i="2" s="1"/>
  <c r="I96" i="2"/>
  <c r="G183" i="2"/>
  <c r="E183" i="2"/>
  <c r="J96" i="2" l="1"/>
  <c r="E184" i="2"/>
  <c r="G184" i="2"/>
  <c r="K96" i="2" l="1"/>
  <c r="L96" i="2"/>
  <c r="G185" i="2"/>
  <c r="E185" i="2"/>
  <c r="I97" i="2" l="1"/>
  <c r="H97" i="2"/>
  <c r="G186" i="2"/>
  <c r="E186" i="2"/>
  <c r="J97" i="2" l="1"/>
  <c r="K97" i="2" s="1"/>
  <c r="H98" i="2" s="1"/>
  <c r="G187" i="2"/>
  <c r="E187" i="2"/>
  <c r="L97" i="2" l="1"/>
  <c r="I98" i="2"/>
  <c r="J98" i="2" s="1"/>
  <c r="K98" i="2" s="1"/>
  <c r="I99" i="2" s="1"/>
  <c r="E188" i="2"/>
  <c r="G188" i="2"/>
  <c r="H99" i="2" l="1"/>
  <c r="J99" i="2" s="1"/>
  <c r="L98" i="2"/>
  <c r="G189" i="2"/>
  <c r="E189" i="2"/>
  <c r="K99" i="2" l="1"/>
  <c r="L99" i="2"/>
  <c r="G190" i="2"/>
  <c r="E190" i="2"/>
  <c r="H100" i="2" l="1"/>
  <c r="I100" i="2"/>
  <c r="G191" i="2"/>
  <c r="E191" i="2"/>
  <c r="J100" i="2" l="1"/>
  <c r="K100" i="2" s="1"/>
  <c r="H101" i="2" s="1"/>
  <c r="E192" i="2"/>
  <c r="G192" i="2"/>
  <c r="L100" i="2" l="1"/>
  <c r="I101" i="2"/>
  <c r="J101" i="2" s="1"/>
  <c r="G193" i="2"/>
  <c r="E193" i="2"/>
  <c r="L101" i="2" l="1"/>
  <c r="K101" i="2"/>
  <c r="G194" i="2"/>
  <c r="E194" i="2"/>
  <c r="I102" i="2" l="1"/>
  <c r="H102" i="2"/>
  <c r="G195" i="2"/>
  <c r="E195" i="2"/>
  <c r="J102" i="2" l="1"/>
  <c r="K102" i="2" s="1"/>
  <c r="G196" i="2"/>
  <c r="E196" i="2"/>
  <c r="L102" i="2" l="1"/>
  <c r="H103" i="2"/>
  <c r="I103" i="2"/>
  <c r="G197" i="2"/>
  <c r="E197" i="2"/>
  <c r="J103" i="2" l="1"/>
  <c r="G198" i="2"/>
  <c r="E198" i="2"/>
  <c r="L103" i="2" l="1"/>
  <c r="K103" i="2"/>
  <c r="G199" i="2"/>
  <c r="E199" i="2"/>
  <c r="I104" i="2" l="1"/>
  <c r="H104" i="2"/>
  <c r="J104" i="2" s="1"/>
  <c r="G200" i="2"/>
  <c r="E200" i="2"/>
  <c r="L104" i="2" l="1"/>
  <c r="K104" i="2"/>
  <c r="G201" i="2"/>
  <c r="E201" i="2"/>
  <c r="I105" i="2" l="1"/>
  <c r="H105" i="2"/>
  <c r="G202" i="2"/>
  <c r="E202" i="2"/>
  <c r="J105" i="2" l="1"/>
  <c r="L105" i="2" s="1"/>
  <c r="G203" i="2"/>
  <c r="E203" i="2"/>
  <c r="K105" i="2" l="1"/>
  <c r="I106" i="2" s="1"/>
  <c r="G204" i="2"/>
  <c r="E204" i="2"/>
  <c r="H106" i="2" l="1"/>
  <c r="J106" i="2" s="1"/>
  <c r="L106" i="2" s="1"/>
  <c r="G205" i="2"/>
  <c r="E205" i="2"/>
  <c r="K106" i="2" l="1"/>
  <c r="H107" i="2" s="1"/>
  <c r="G206" i="2"/>
  <c r="E206" i="2"/>
  <c r="I107" i="2" l="1"/>
  <c r="J107" i="2" s="1"/>
  <c r="G207" i="2"/>
  <c r="E207" i="2"/>
  <c r="K107" i="2" l="1"/>
  <c r="L107" i="2"/>
  <c r="E208" i="2"/>
  <c r="G208" i="2"/>
  <c r="I108" i="2" l="1"/>
  <c r="H108" i="2"/>
  <c r="J108" i="2" s="1"/>
  <c r="K108" i="2" s="1"/>
  <c r="G209" i="2"/>
  <c r="E209" i="2"/>
  <c r="I109" i="2" l="1"/>
  <c r="H109" i="2"/>
  <c r="J109" i="2" s="1"/>
  <c r="K109" i="2" s="1"/>
  <c r="L108" i="2"/>
  <c r="G210" i="2"/>
  <c r="E210" i="2"/>
  <c r="L109" i="2" l="1"/>
  <c r="H110" i="2"/>
  <c r="I110" i="2"/>
  <c r="G211" i="2"/>
  <c r="E211" i="2"/>
  <c r="J110" i="2" l="1"/>
  <c r="L110" i="2" s="1"/>
  <c r="G212" i="2"/>
  <c r="E212" i="2"/>
  <c r="K110" i="2" l="1"/>
  <c r="H111" i="2" s="1"/>
  <c r="G213" i="2"/>
  <c r="E213" i="2"/>
  <c r="I111" i="2" l="1"/>
  <c r="J111" i="2" s="1"/>
  <c r="E214" i="2"/>
  <c r="G214" i="2"/>
  <c r="K111" i="2" l="1"/>
  <c r="L111" i="2"/>
  <c r="G215" i="2"/>
  <c r="E215" i="2"/>
  <c r="I112" i="2" l="1"/>
  <c r="H112" i="2"/>
  <c r="G216" i="2"/>
  <c r="E216" i="2"/>
  <c r="J112" i="2" l="1"/>
  <c r="K112" i="2" s="1"/>
  <c r="H113" i="2" s="1"/>
  <c r="G217" i="2"/>
  <c r="E217" i="2"/>
  <c r="L112" i="2" l="1"/>
  <c r="I113" i="2"/>
  <c r="J113" i="2" s="1"/>
  <c r="K113" i="2" s="1"/>
  <c r="G218" i="2"/>
  <c r="E218" i="2"/>
  <c r="I114" i="2" l="1"/>
  <c r="H114" i="2"/>
  <c r="J114" i="2" s="1"/>
  <c r="K114" i="2" s="1"/>
  <c r="L113" i="2"/>
  <c r="G219" i="2"/>
  <c r="E219" i="2"/>
  <c r="L114" i="2" l="1"/>
  <c r="H115" i="2"/>
  <c r="I115" i="2"/>
  <c r="G220" i="2"/>
  <c r="E220" i="2"/>
  <c r="J115" i="2" l="1"/>
  <c r="G221" i="2"/>
  <c r="E221" i="2"/>
  <c r="L115" i="2" l="1"/>
  <c r="K115" i="2"/>
  <c r="G222" i="2"/>
  <c r="E222" i="2"/>
  <c r="I116" i="2" l="1"/>
  <c r="H116" i="2"/>
  <c r="G223" i="2"/>
  <c r="E223" i="2"/>
  <c r="J116" i="2" l="1"/>
  <c r="L116" i="2" s="1"/>
  <c r="E224" i="2"/>
  <c r="G224" i="2"/>
  <c r="K116" i="2" l="1"/>
  <c r="I117" i="2" s="1"/>
  <c r="G225" i="2"/>
  <c r="E225" i="2"/>
  <c r="H117" i="2" l="1"/>
  <c r="J117" i="2" s="1"/>
  <c r="K117" i="2" s="1"/>
  <c r="G226" i="2"/>
  <c r="E226" i="2"/>
  <c r="L117" i="2" l="1"/>
  <c r="I118" i="2"/>
  <c r="H118" i="2"/>
  <c r="J118" i="2" s="1"/>
  <c r="K118" i="2" s="1"/>
  <c r="G227" i="2"/>
  <c r="E227" i="2"/>
  <c r="I119" i="2" l="1"/>
  <c r="H119" i="2"/>
  <c r="L118" i="2"/>
  <c r="G228" i="2"/>
  <c r="E228" i="2"/>
  <c r="J119" i="2" l="1"/>
  <c r="K119" i="2" s="1"/>
  <c r="I120" i="2" s="1"/>
  <c r="G229" i="2"/>
  <c r="E229" i="2"/>
  <c r="H120" i="2" l="1"/>
  <c r="J120" i="2" s="1"/>
  <c r="K120" i="2" s="1"/>
  <c r="I121" i="2" s="1"/>
  <c r="L119" i="2"/>
  <c r="G230" i="2"/>
  <c r="E230" i="2"/>
  <c r="L120" i="2" l="1"/>
  <c r="H121" i="2"/>
  <c r="J121" i="2" s="1"/>
  <c r="L121" i="2" s="1"/>
  <c r="E231" i="2"/>
  <c r="G231" i="2"/>
  <c r="K121" i="2" l="1"/>
  <c r="I122" i="2" s="1"/>
  <c r="G232" i="2"/>
  <c r="E232" i="2"/>
  <c r="H122" i="2" l="1"/>
  <c r="J122" i="2" s="1"/>
  <c r="L122" i="2" s="1"/>
  <c r="G233" i="2"/>
  <c r="E233" i="2"/>
  <c r="K122" i="2" l="1"/>
  <c r="H123" i="2" s="1"/>
  <c r="E234" i="2"/>
  <c r="G234" i="2"/>
  <c r="I123" i="2" l="1"/>
  <c r="J123" i="2" s="1"/>
  <c r="G235" i="2"/>
  <c r="E235" i="2"/>
  <c r="L123" i="2" l="1"/>
  <c r="K123" i="2"/>
  <c r="G236" i="2"/>
  <c r="E236" i="2"/>
  <c r="I124" i="2" l="1"/>
  <c r="H124" i="2"/>
  <c r="G237" i="2"/>
  <c r="E237" i="2"/>
  <c r="J124" i="2" l="1"/>
  <c r="L124" i="2" s="1"/>
  <c r="G238" i="2"/>
  <c r="E238" i="2"/>
  <c r="K124" i="2" l="1"/>
  <c r="I125" i="2" s="1"/>
  <c r="E239" i="2"/>
  <c r="G239" i="2"/>
  <c r="H125" i="2" l="1"/>
  <c r="J125" i="2" s="1"/>
  <c r="E240" i="2"/>
  <c r="G240" i="2"/>
  <c r="L125" i="2" l="1"/>
  <c r="K125" i="2"/>
  <c r="I126" i="2" s="1"/>
  <c r="G241" i="2"/>
  <c r="E241" i="2"/>
  <c r="H126" i="2" l="1"/>
  <c r="J126" i="2" s="1"/>
  <c r="L126" i="2" s="1"/>
  <c r="G242" i="2"/>
  <c r="E242" i="2"/>
  <c r="K126" i="2" l="1"/>
  <c r="H127" i="2" s="1"/>
  <c r="G243" i="2"/>
  <c r="E243" i="2"/>
  <c r="I127" i="2" l="1"/>
  <c r="J127" i="2" s="1"/>
  <c r="G244" i="2"/>
  <c r="E244" i="2"/>
  <c r="L127" i="2" l="1"/>
  <c r="K127" i="2"/>
  <c r="G245" i="2"/>
  <c r="E245" i="2"/>
  <c r="H128" i="2" l="1"/>
  <c r="I128" i="2"/>
  <c r="G246" i="2"/>
  <c r="E246" i="2"/>
  <c r="J128" i="2" l="1"/>
  <c r="G247" i="2"/>
  <c r="E247" i="2"/>
  <c r="L128" i="2" l="1"/>
  <c r="K128" i="2"/>
  <c r="G248" i="2"/>
  <c r="E248" i="2"/>
  <c r="I129" i="2" l="1"/>
  <c r="H129" i="2"/>
  <c r="J129" i="2" s="1"/>
  <c r="L129" i="2" s="1"/>
  <c r="G249" i="2"/>
  <c r="E249" i="2"/>
  <c r="K129" i="2" l="1"/>
  <c r="G250" i="2"/>
  <c r="E250" i="2"/>
  <c r="H130" i="2" l="1"/>
  <c r="I130" i="2"/>
  <c r="G251" i="2"/>
  <c r="E251" i="2"/>
  <c r="J130" i="2" l="1"/>
  <c r="L130" i="2" s="1"/>
  <c r="G252" i="2"/>
  <c r="E252" i="2"/>
  <c r="K130" i="2" l="1"/>
  <c r="I131" i="2" s="1"/>
  <c r="E253" i="2"/>
  <c r="G253" i="2"/>
  <c r="H131" i="2" l="1"/>
  <c r="J131" i="2" s="1"/>
  <c r="L131" i="2" s="1"/>
  <c r="G254" i="2"/>
  <c r="E254" i="2"/>
  <c r="K131" i="2" l="1"/>
  <c r="I132" i="2" s="1"/>
  <c r="E255" i="2"/>
  <c r="G255" i="2"/>
  <c r="H132" i="2" l="1"/>
  <c r="J132" i="2" s="1"/>
  <c r="L132" i="2" s="1"/>
  <c r="G256" i="2"/>
  <c r="E256" i="2"/>
  <c r="K132" i="2" l="1"/>
  <c r="I133" i="2" s="1"/>
  <c r="G257" i="2"/>
  <c r="E257" i="2"/>
  <c r="H133" i="2" l="1"/>
  <c r="J133" i="2" s="1"/>
  <c r="G258" i="2"/>
  <c r="E258" i="2"/>
  <c r="L133" i="2" l="1"/>
  <c r="K133" i="2"/>
  <c r="H134" i="2" s="1"/>
  <c r="G259" i="2"/>
  <c r="E259" i="2"/>
  <c r="I134" i="2" l="1"/>
  <c r="J134" i="2" s="1"/>
  <c r="K134" i="2" s="1"/>
  <c r="H135" i="2" s="1"/>
  <c r="E260" i="2"/>
  <c r="G260" i="2"/>
  <c r="L134" i="2" l="1"/>
  <c r="I135" i="2"/>
  <c r="J135" i="2" s="1"/>
  <c r="K135" i="2" s="1"/>
  <c r="I136" i="2" s="1"/>
  <c r="G261" i="2"/>
  <c r="E261" i="2"/>
  <c r="H136" i="2" l="1"/>
  <c r="J136" i="2" s="1"/>
  <c r="K136" i="2" s="1"/>
  <c r="L135" i="2"/>
  <c r="G262" i="2"/>
  <c r="E262" i="2"/>
  <c r="L136" i="2" l="1"/>
  <c r="I137" i="2"/>
  <c r="H137" i="2"/>
  <c r="J137" i="2" s="1"/>
  <c r="L137" i="2" s="1"/>
  <c r="G263" i="2"/>
  <c r="E263" i="2"/>
  <c r="K137" i="2" l="1"/>
  <c r="G264" i="2"/>
  <c r="E264" i="2"/>
  <c r="I138" i="2" l="1"/>
  <c r="H138" i="2"/>
  <c r="G265" i="2"/>
  <c r="E265" i="2"/>
  <c r="J138" i="2" l="1"/>
  <c r="L138" i="2" s="1"/>
  <c r="G266" i="2"/>
  <c r="E266" i="2"/>
  <c r="K138" i="2" l="1"/>
  <c r="I139" i="2" s="1"/>
  <c r="G267" i="2"/>
  <c r="E267" i="2"/>
  <c r="H139" i="2" l="1"/>
  <c r="J139" i="2" s="1"/>
  <c r="L139" i="2" s="1"/>
  <c r="G268" i="2"/>
  <c r="E268" i="2"/>
  <c r="K139" i="2" l="1"/>
  <c r="H140" i="2" s="1"/>
  <c r="G269" i="2"/>
  <c r="E269" i="2"/>
  <c r="I140" i="2" l="1"/>
  <c r="J140" i="2" s="1"/>
  <c r="L140" i="2" s="1"/>
  <c r="G270" i="2"/>
  <c r="E270" i="2"/>
  <c r="K140" i="2" l="1"/>
  <c r="I141" i="2" s="1"/>
  <c r="E271" i="2"/>
  <c r="G271" i="2"/>
  <c r="H141" i="2" l="1"/>
  <c r="J141" i="2" s="1"/>
  <c r="L141" i="2" s="1"/>
  <c r="G272" i="2"/>
  <c r="E272" i="2"/>
  <c r="K141" i="2" l="1"/>
  <c r="I142" i="2" s="1"/>
  <c r="G273" i="2"/>
  <c r="E273" i="2"/>
  <c r="H142" i="2" l="1"/>
  <c r="J142" i="2" s="1"/>
  <c r="L142" i="2" s="1"/>
  <c r="G274" i="2"/>
  <c r="E274" i="2"/>
  <c r="K142" i="2" l="1"/>
  <c r="H143" i="2" s="1"/>
  <c r="G275" i="2"/>
  <c r="E275" i="2"/>
  <c r="I143" i="2" l="1"/>
  <c r="J143" i="2" s="1"/>
  <c r="K143" i="2" s="1"/>
  <c r="E276" i="2"/>
  <c r="G276" i="2"/>
  <c r="L143" i="2" l="1"/>
  <c r="H144" i="2"/>
  <c r="I144" i="2"/>
  <c r="G277" i="2"/>
  <c r="E277" i="2"/>
  <c r="J144" i="2" l="1"/>
  <c r="G278" i="2"/>
  <c r="E278" i="2"/>
  <c r="K144" i="2" l="1"/>
  <c r="L144" i="2"/>
  <c r="G279" i="2"/>
  <c r="E279" i="2"/>
  <c r="H145" i="2" l="1"/>
  <c r="I145" i="2"/>
  <c r="G280" i="2"/>
  <c r="E280" i="2"/>
  <c r="J145" i="2" l="1"/>
  <c r="G281" i="2"/>
  <c r="E281" i="2"/>
  <c r="L145" i="2" l="1"/>
  <c r="K145" i="2"/>
  <c r="G282" i="2"/>
  <c r="E282" i="2"/>
  <c r="I146" i="2" l="1"/>
  <c r="H146" i="2"/>
  <c r="J146" i="2" s="1"/>
  <c r="G283" i="2"/>
  <c r="E283" i="2"/>
  <c r="L146" i="2" l="1"/>
  <c r="K146" i="2"/>
  <c r="G284" i="2"/>
  <c r="E284" i="2"/>
  <c r="I147" i="2" l="1"/>
  <c r="H147" i="2"/>
  <c r="E285" i="2"/>
  <c r="G285" i="2"/>
  <c r="J147" i="2" l="1"/>
  <c r="L147" i="2" s="1"/>
  <c r="G286" i="2"/>
  <c r="E286" i="2"/>
  <c r="K147" i="2" l="1"/>
  <c r="H148" i="2" s="1"/>
  <c r="E287" i="2"/>
  <c r="G287" i="2"/>
  <c r="I148" i="2" l="1"/>
  <c r="J148" i="2" s="1"/>
  <c r="L148" i="2" s="1"/>
  <c r="E288" i="2"/>
  <c r="G288" i="2"/>
  <c r="K148" i="2" l="1"/>
  <c r="H149" i="2" s="1"/>
  <c r="G289" i="2"/>
  <c r="E289" i="2"/>
  <c r="I149" i="2" l="1"/>
  <c r="J149" i="2"/>
  <c r="E290" i="2"/>
  <c r="G290" i="2"/>
  <c r="K149" i="2" l="1"/>
  <c r="L149" i="2"/>
  <c r="G291" i="2"/>
  <c r="E291" i="2"/>
  <c r="I150" i="2" l="1"/>
  <c r="H150" i="2"/>
  <c r="G292" i="2"/>
  <c r="E292" i="2"/>
  <c r="J150" i="2" l="1"/>
  <c r="L150" i="2" s="1"/>
  <c r="G293" i="2"/>
  <c r="E293" i="2"/>
  <c r="K150" i="2" l="1"/>
  <c r="I151" i="2" s="1"/>
  <c r="G294" i="2"/>
  <c r="E294" i="2"/>
  <c r="H151" i="2" l="1"/>
  <c r="J151" i="2" s="1"/>
  <c r="L151" i="2" s="1"/>
  <c r="G295" i="2"/>
  <c r="E295" i="2"/>
  <c r="K151" i="2" l="1"/>
  <c r="I152" i="2" s="1"/>
  <c r="H152" i="2"/>
  <c r="G296" i="2"/>
  <c r="E296" i="2"/>
  <c r="J152" i="2" l="1"/>
  <c r="L152" i="2" s="1"/>
  <c r="G297" i="2"/>
  <c r="E297" i="2"/>
  <c r="K152" i="2" l="1"/>
  <c r="H153" i="2" s="1"/>
  <c r="I153" i="2"/>
  <c r="G298" i="2"/>
  <c r="E298" i="2"/>
  <c r="J153" i="2" l="1"/>
  <c r="E299" i="2"/>
  <c r="G299" i="2"/>
  <c r="K153" i="2" l="1"/>
  <c r="L153" i="2"/>
  <c r="G300" i="2"/>
  <c r="E300" i="2"/>
  <c r="I154" i="2" l="1"/>
  <c r="H154" i="2"/>
  <c r="G301" i="2"/>
  <c r="E301" i="2"/>
  <c r="J154" i="2" l="1"/>
  <c r="K154" i="2" s="1"/>
  <c r="I155" i="2" s="1"/>
  <c r="G302" i="2"/>
  <c r="E302" i="2"/>
  <c r="L154" i="2" l="1"/>
  <c r="H155" i="2"/>
  <c r="J155" i="2" s="1"/>
  <c r="K155" i="2" s="1"/>
  <c r="I156" i="2" s="1"/>
  <c r="E303" i="2"/>
  <c r="G303" i="2"/>
  <c r="L155" i="2" l="1"/>
  <c r="H156" i="2"/>
  <c r="J156" i="2" s="1"/>
  <c r="K156" i="2" s="1"/>
  <c r="G304" i="2"/>
  <c r="E304" i="2"/>
  <c r="I157" i="2" l="1"/>
  <c r="H157" i="2"/>
  <c r="J157" i="2" s="1"/>
  <c r="K157" i="2" s="1"/>
  <c r="I158" i="2" s="1"/>
  <c r="L156" i="2"/>
  <c r="G305" i="2"/>
  <c r="E305" i="2"/>
  <c r="H158" i="2" l="1"/>
  <c r="J158" i="2" s="1"/>
  <c r="K158" i="2" s="1"/>
  <c r="L157" i="2"/>
  <c r="G306" i="2"/>
  <c r="E306" i="2"/>
  <c r="H159" i="2" l="1"/>
  <c r="I159" i="2"/>
  <c r="L158" i="2"/>
  <c r="G307" i="2"/>
  <c r="E307" i="2"/>
  <c r="J159" i="2" l="1"/>
  <c r="K159" i="2" s="1"/>
  <c r="G308" i="2"/>
  <c r="E308" i="2"/>
  <c r="I160" i="2" l="1"/>
  <c r="H160" i="2"/>
  <c r="L159" i="2"/>
  <c r="E309" i="2"/>
  <c r="G309" i="2"/>
  <c r="J160" i="2" l="1"/>
  <c r="K160" i="2" s="1"/>
  <c r="G310" i="2"/>
  <c r="E310" i="2"/>
  <c r="H161" i="2" l="1"/>
  <c r="I161" i="2"/>
  <c r="L160" i="2"/>
  <c r="G311" i="2"/>
  <c r="E311" i="2"/>
  <c r="J161" i="2" l="1"/>
  <c r="E312" i="2"/>
  <c r="G312" i="2"/>
  <c r="L161" i="2" l="1"/>
  <c r="K161" i="2"/>
  <c r="G313" i="2"/>
  <c r="E313" i="2"/>
  <c r="I162" i="2" l="1"/>
  <c r="H162" i="2"/>
  <c r="J162" i="2" s="1"/>
  <c r="L162" i="2" s="1"/>
  <c r="G314" i="2"/>
  <c r="E314" i="2"/>
  <c r="K162" i="2" l="1"/>
  <c r="G315" i="2"/>
  <c r="E315" i="2"/>
  <c r="H163" i="2" l="1"/>
  <c r="I163" i="2"/>
  <c r="K315" i="2"/>
  <c r="J315" i="2"/>
  <c r="I315" i="2"/>
  <c r="G316" i="2"/>
  <c r="E316" i="2"/>
  <c r="L315" i="2"/>
  <c r="H315" i="2"/>
  <c r="J163" i="2" l="1"/>
  <c r="L163" i="2" s="1"/>
  <c r="J316" i="2"/>
  <c r="I316" i="2"/>
  <c r="H316" i="2"/>
  <c r="G317" i="2"/>
  <c r="E317" i="2"/>
  <c r="L316" i="2"/>
  <c r="K316" i="2"/>
  <c r="K163" i="2" l="1"/>
  <c r="H164" i="2" s="1"/>
  <c r="E318" i="2"/>
  <c r="L317" i="2"/>
  <c r="K317" i="2"/>
  <c r="I317" i="2"/>
  <c r="H317" i="2"/>
  <c r="G318" i="2"/>
  <c r="J317" i="2"/>
  <c r="I164" i="2" l="1"/>
  <c r="J164" i="2" s="1"/>
  <c r="K164" i="2" s="1"/>
  <c r="L318" i="2"/>
  <c r="K318" i="2"/>
  <c r="J318" i="2"/>
  <c r="I318" i="2"/>
  <c r="H318" i="2"/>
  <c r="G319" i="2"/>
  <c r="E319" i="2"/>
  <c r="L164" i="2" l="1"/>
  <c r="I165" i="2"/>
  <c r="H165" i="2"/>
  <c r="J165" i="2" s="1"/>
  <c r="K165" i="2" s="1"/>
  <c r="G320" i="2"/>
  <c r="E320" i="2"/>
  <c r="L319" i="2"/>
  <c r="K319" i="2"/>
  <c r="J319" i="2"/>
  <c r="I319" i="2"/>
  <c r="H319" i="2"/>
  <c r="I166" i="2" l="1"/>
  <c r="H166" i="2"/>
  <c r="L165" i="2"/>
  <c r="H320" i="2"/>
  <c r="G321" i="2"/>
  <c r="E321" i="2"/>
  <c r="I320" i="2"/>
  <c r="K320" i="2"/>
  <c r="J320" i="2"/>
  <c r="L320" i="2"/>
  <c r="J166" i="2" l="1"/>
  <c r="K166" i="2" s="1"/>
  <c r="I167" i="2" s="1"/>
  <c r="J321" i="2"/>
  <c r="I321" i="2"/>
  <c r="H321" i="2"/>
  <c r="K321" i="2"/>
  <c r="L321" i="2"/>
  <c r="G322" i="2"/>
  <c r="E322" i="2"/>
  <c r="H167" i="2" l="1"/>
  <c r="J167" i="2" s="1"/>
  <c r="K167" i="2" s="1"/>
  <c r="L166" i="2"/>
  <c r="J322" i="2"/>
  <c r="I322" i="2"/>
  <c r="H322" i="2"/>
  <c r="G323" i="2"/>
  <c r="E323" i="2"/>
  <c r="L322" i="2"/>
  <c r="K322" i="2"/>
  <c r="I168" i="2" l="1"/>
  <c r="H168" i="2"/>
  <c r="J168" i="2" s="1"/>
  <c r="L168" i="2" s="1"/>
  <c r="L167" i="2"/>
  <c r="G324" i="2"/>
  <c r="E324" i="2"/>
  <c r="L323" i="2"/>
  <c r="K323" i="2"/>
  <c r="J323" i="2"/>
  <c r="I323" i="2"/>
  <c r="H323" i="2"/>
  <c r="K168" i="2" l="1"/>
  <c r="I169" i="2" s="1"/>
  <c r="L324" i="2"/>
  <c r="K324" i="2"/>
  <c r="J324" i="2"/>
  <c r="H324" i="2"/>
  <c r="E325" i="2"/>
  <c r="I324" i="2"/>
  <c r="G325" i="2"/>
  <c r="H169" i="2" l="1"/>
  <c r="J169" i="2" s="1"/>
  <c r="E326" i="2"/>
  <c r="L325" i="2"/>
  <c r="K325" i="2"/>
  <c r="J325" i="2"/>
  <c r="I325" i="2"/>
  <c r="G326" i="2"/>
  <c r="H325" i="2"/>
  <c r="L169" i="2" l="1"/>
  <c r="K169" i="2"/>
  <c r="I170" i="2" s="1"/>
  <c r="G327" i="2"/>
  <c r="E327" i="2"/>
  <c r="L326" i="2"/>
  <c r="K326" i="2"/>
  <c r="J326" i="2"/>
  <c r="I326" i="2"/>
  <c r="H326" i="2"/>
  <c r="H170" i="2" l="1"/>
  <c r="J170" i="2" s="1"/>
  <c r="K170" i="2" s="1"/>
  <c r="I171" i="2" s="1"/>
  <c r="I327" i="2"/>
  <c r="H327" i="2"/>
  <c r="G328" i="2"/>
  <c r="E328" i="2"/>
  <c r="L327" i="2"/>
  <c r="J327" i="2"/>
  <c r="K327" i="2"/>
  <c r="H171" i="2" l="1"/>
  <c r="J171" i="2" s="1"/>
  <c r="L170" i="2"/>
  <c r="G329" i="2"/>
  <c r="I328" i="2"/>
  <c r="H328" i="2"/>
  <c r="K328" i="2"/>
  <c r="L328" i="2"/>
  <c r="E329" i="2"/>
  <c r="J328" i="2"/>
  <c r="L171" i="2" l="1"/>
  <c r="K171" i="2"/>
  <c r="H172" i="2" s="1"/>
  <c r="I329" i="2"/>
  <c r="H329" i="2"/>
  <c r="G330" i="2"/>
  <c r="E330" i="2"/>
  <c r="L329" i="2"/>
  <c r="K329" i="2"/>
  <c r="J329" i="2"/>
  <c r="I172" i="2" l="1"/>
  <c r="J172" i="2" s="1"/>
  <c r="K172" i="2" s="1"/>
  <c r="I330" i="2"/>
  <c r="G331" i="2"/>
  <c r="E331" i="2"/>
  <c r="L330" i="2"/>
  <c r="K330" i="2"/>
  <c r="J330" i="2"/>
  <c r="H330" i="2"/>
  <c r="L172" i="2" l="1"/>
  <c r="H173" i="2"/>
  <c r="I173" i="2"/>
  <c r="K331" i="2"/>
  <c r="J331" i="2"/>
  <c r="I331" i="2"/>
  <c r="G332" i="2"/>
  <c r="E332" i="2"/>
  <c r="L331" i="2"/>
  <c r="H331" i="2"/>
  <c r="J173" i="2" l="1"/>
  <c r="K173" i="2" s="1"/>
  <c r="I174" i="2" s="1"/>
  <c r="K332" i="2"/>
  <c r="G333" i="2"/>
  <c r="E333" i="2"/>
  <c r="L332" i="2"/>
  <c r="J332" i="2"/>
  <c r="I332" i="2"/>
  <c r="H332" i="2"/>
  <c r="L173" i="2" l="1"/>
  <c r="H174" i="2"/>
  <c r="J174" i="2" s="1"/>
  <c r="K174" i="2" s="1"/>
  <c r="H175" i="2" s="1"/>
  <c r="E334" i="2"/>
  <c r="L333" i="2"/>
  <c r="K333" i="2"/>
  <c r="H333" i="2"/>
  <c r="I333" i="2"/>
  <c r="G334" i="2"/>
  <c r="J333" i="2"/>
  <c r="L174" i="2" l="1"/>
  <c r="I175" i="2"/>
  <c r="J175" i="2" s="1"/>
  <c r="K175" i="2" s="1"/>
  <c r="H176" i="2" s="1"/>
  <c r="E335" i="2"/>
  <c r="G335" i="2"/>
  <c r="L334" i="2"/>
  <c r="K334" i="2"/>
  <c r="J334" i="2"/>
  <c r="I334" i="2"/>
  <c r="H334" i="2"/>
  <c r="I176" i="2" l="1"/>
  <c r="J176" i="2" s="1"/>
  <c r="K176" i="2" s="1"/>
  <c r="I177" i="2" s="1"/>
  <c r="L175" i="2"/>
  <c r="G336" i="2"/>
  <c r="E336" i="2"/>
  <c r="L335" i="2"/>
  <c r="K335" i="2"/>
  <c r="J335" i="2"/>
  <c r="I335" i="2"/>
  <c r="H335" i="2"/>
  <c r="L176" i="2" l="1"/>
  <c r="H177" i="2"/>
  <c r="J177" i="2" s="1"/>
  <c r="K177" i="2" s="1"/>
  <c r="I178" i="2" s="1"/>
  <c r="H336" i="2"/>
  <c r="I336" i="2"/>
  <c r="G337" i="2"/>
  <c r="E337" i="2"/>
  <c r="L336" i="2"/>
  <c r="K336" i="2"/>
  <c r="J336" i="2"/>
  <c r="L177" i="2" l="1"/>
  <c r="H178" i="2"/>
  <c r="J178" i="2" s="1"/>
  <c r="K178" i="2" s="1"/>
  <c r="I179" i="2" s="1"/>
  <c r="H337" i="2"/>
  <c r="I337" i="2"/>
  <c r="G338" i="2"/>
  <c r="E338" i="2"/>
  <c r="L337" i="2"/>
  <c r="K337" i="2"/>
  <c r="J337" i="2"/>
  <c r="H179" i="2" l="1"/>
  <c r="J179" i="2" s="1"/>
  <c r="K179" i="2" s="1"/>
  <c r="I180" i="2" s="1"/>
  <c r="L178" i="2"/>
  <c r="J338" i="2"/>
  <c r="I338" i="2"/>
  <c r="H338" i="2"/>
  <c r="G339" i="2"/>
  <c r="E339" i="2"/>
  <c r="L338" i="2"/>
  <c r="K338" i="2"/>
  <c r="L179" i="2" l="1"/>
  <c r="H180" i="2"/>
  <c r="J180" i="2" s="1"/>
  <c r="K180" i="2" s="1"/>
  <c r="I181" i="2" s="1"/>
  <c r="J339" i="2"/>
  <c r="H339" i="2"/>
  <c r="I339" i="2"/>
  <c r="G340" i="2"/>
  <c r="L339" i="2"/>
  <c r="E340" i="2"/>
  <c r="K339" i="2"/>
  <c r="L180" i="2" l="1"/>
  <c r="H181" i="2"/>
  <c r="J181" i="2" s="1"/>
  <c r="K181" i="2" s="1"/>
  <c r="I182" i="2" s="1"/>
  <c r="L340" i="2"/>
  <c r="K340" i="2"/>
  <c r="J340" i="2"/>
  <c r="G341" i="2"/>
  <c r="E341" i="2"/>
  <c r="I340" i="2"/>
  <c r="H340" i="2"/>
  <c r="H182" i="2" l="1"/>
  <c r="J182" i="2" s="1"/>
  <c r="K182" i="2" s="1"/>
  <c r="H183" i="2" s="1"/>
  <c r="L181" i="2"/>
  <c r="L341" i="2"/>
  <c r="G342" i="2"/>
  <c r="E342" i="2"/>
  <c r="K341" i="2"/>
  <c r="J341" i="2"/>
  <c r="I341" i="2"/>
  <c r="H341" i="2"/>
  <c r="I183" i="2" l="1"/>
  <c r="J183" i="2" s="1"/>
  <c r="L182" i="2"/>
  <c r="G343" i="2"/>
  <c r="E343" i="2"/>
  <c r="L342" i="2"/>
  <c r="H342" i="2"/>
  <c r="K342" i="2"/>
  <c r="I342" i="2"/>
  <c r="J342" i="2"/>
  <c r="L183" i="2" l="1"/>
  <c r="K183" i="2"/>
  <c r="H184" i="2" s="1"/>
  <c r="G344" i="2"/>
  <c r="E344" i="2"/>
  <c r="L343" i="2"/>
  <c r="K343" i="2"/>
  <c r="J343" i="2"/>
  <c r="I343" i="2"/>
  <c r="H343" i="2"/>
  <c r="I184" i="2" l="1"/>
  <c r="J184" i="2" s="1"/>
  <c r="L184" i="2" s="1"/>
  <c r="G345" i="2"/>
  <c r="E345" i="2"/>
  <c r="L344" i="2"/>
  <c r="K344" i="2"/>
  <c r="J344" i="2"/>
  <c r="I344" i="2"/>
  <c r="H344" i="2"/>
  <c r="K184" i="2" l="1"/>
  <c r="I185" i="2" s="1"/>
  <c r="I345" i="2"/>
  <c r="H345" i="2"/>
  <c r="J345" i="2"/>
  <c r="G346" i="2"/>
  <c r="E346" i="2"/>
  <c r="L345" i="2"/>
  <c r="K345" i="2"/>
  <c r="H185" i="2" l="1"/>
  <c r="J185" i="2" s="1"/>
  <c r="I346" i="2"/>
  <c r="H346" i="2"/>
  <c r="K346" i="2"/>
  <c r="J346" i="2"/>
  <c r="G347" i="2"/>
  <c r="E347" i="2"/>
  <c r="L346" i="2"/>
  <c r="L185" i="2" l="1"/>
  <c r="K185" i="2"/>
  <c r="K347" i="2"/>
  <c r="J347" i="2"/>
  <c r="I347" i="2"/>
  <c r="G348" i="2"/>
  <c r="E348" i="2"/>
  <c r="L347" i="2"/>
  <c r="H347" i="2"/>
  <c r="I186" i="2" l="1"/>
  <c r="H186" i="2"/>
  <c r="K348" i="2"/>
  <c r="I348" i="2"/>
  <c r="H348" i="2"/>
  <c r="L348" i="2"/>
  <c r="J348" i="2"/>
  <c r="G349" i="2"/>
  <c r="E349" i="2"/>
  <c r="J186" i="2" l="1"/>
  <c r="L186" i="2" s="1"/>
  <c r="E350" i="2"/>
  <c r="L349" i="2"/>
  <c r="K349" i="2"/>
  <c r="G350" i="2"/>
  <c r="J349" i="2"/>
  <c r="I349" i="2"/>
  <c r="H349" i="2"/>
  <c r="K186" i="2" l="1"/>
  <c r="H187" i="2" s="1"/>
  <c r="E351" i="2"/>
  <c r="G351" i="2"/>
  <c r="L350" i="2"/>
  <c r="K350" i="2"/>
  <c r="I350" i="2"/>
  <c r="H350" i="2"/>
  <c r="J350" i="2"/>
  <c r="I187" i="2" l="1"/>
  <c r="J187" i="2" s="1"/>
  <c r="G352" i="2"/>
  <c r="E352" i="2"/>
  <c r="I351" i="2"/>
  <c r="H351" i="2"/>
  <c r="L351" i="2"/>
  <c r="K351" i="2"/>
  <c r="J351" i="2"/>
  <c r="L187" i="2" l="1"/>
  <c r="K187" i="2"/>
  <c r="H352" i="2"/>
  <c r="I352" i="2"/>
  <c r="G353" i="2"/>
  <c r="E353" i="2"/>
  <c r="L352" i="2"/>
  <c r="K352" i="2"/>
  <c r="J352" i="2"/>
  <c r="H188" i="2" l="1"/>
  <c r="I188" i="2"/>
  <c r="H353" i="2"/>
  <c r="G354" i="2"/>
  <c r="E354" i="2"/>
  <c r="L353" i="2"/>
  <c r="K353" i="2"/>
  <c r="J353" i="2"/>
  <c r="I353" i="2"/>
  <c r="J188" i="2" l="1"/>
  <c r="L188" i="2" s="1"/>
  <c r="J354" i="2"/>
  <c r="I354" i="2"/>
  <c r="H354" i="2"/>
  <c r="K354" i="2"/>
  <c r="G355" i="2"/>
  <c r="E355" i="2"/>
  <c r="L354" i="2"/>
  <c r="K188" i="2" l="1"/>
  <c r="I189" i="2" s="1"/>
  <c r="J355" i="2"/>
  <c r="H355" i="2"/>
  <c r="I355" i="2"/>
  <c r="L355" i="2"/>
  <c r="K355" i="2"/>
  <c r="G356" i="2"/>
  <c r="E356" i="2"/>
  <c r="H189" i="2" l="1"/>
  <c r="J189" i="2" s="1"/>
  <c r="L189" i="2" s="1"/>
  <c r="L356" i="2"/>
  <c r="K356" i="2"/>
  <c r="J356" i="2"/>
  <c r="G357" i="2"/>
  <c r="E357" i="2"/>
  <c r="I356" i="2"/>
  <c r="H356" i="2"/>
  <c r="K189" i="2" l="1"/>
  <c r="I190" i="2" s="1"/>
  <c r="L357" i="2"/>
  <c r="J357" i="2"/>
  <c r="I357" i="2"/>
  <c r="H357" i="2"/>
  <c r="G358" i="2"/>
  <c r="E358" i="2"/>
  <c r="K357" i="2"/>
  <c r="H190" i="2" l="1"/>
  <c r="J190" i="2" s="1"/>
  <c r="L190" i="2" s="1"/>
  <c r="G359" i="2"/>
  <c r="E359" i="2"/>
  <c r="L358" i="2"/>
  <c r="K358" i="2"/>
  <c r="J358" i="2"/>
  <c r="I358" i="2"/>
  <c r="H358" i="2"/>
  <c r="K190" i="2" l="1"/>
  <c r="I191" i="2" s="1"/>
  <c r="G360" i="2"/>
  <c r="E360" i="2"/>
  <c r="J359" i="2"/>
  <c r="I359" i="2"/>
  <c r="H359" i="2"/>
  <c r="L359" i="2"/>
  <c r="K359" i="2"/>
  <c r="H191" i="2" l="1"/>
  <c r="J191" i="2" s="1"/>
  <c r="L191" i="2" s="1"/>
  <c r="G361" i="2"/>
  <c r="E361" i="2"/>
  <c r="K360" i="2"/>
  <c r="J360" i="2"/>
  <c r="I360" i="2"/>
  <c r="H360" i="2"/>
  <c r="L360" i="2"/>
  <c r="K191" i="2" l="1"/>
  <c r="I192" i="2" s="1"/>
  <c r="I361" i="2"/>
  <c r="H361" i="2"/>
  <c r="G362" i="2"/>
  <c r="E362" i="2"/>
  <c r="L361" i="2"/>
  <c r="K361" i="2"/>
  <c r="J361" i="2"/>
  <c r="H192" i="2" l="1"/>
  <c r="J192" i="2" s="1"/>
  <c r="I362" i="2"/>
  <c r="G363" i="2"/>
  <c r="E363" i="2"/>
  <c r="L362" i="2"/>
  <c r="K362" i="2"/>
  <c r="J362" i="2"/>
  <c r="H362" i="2"/>
  <c r="L192" i="2" l="1"/>
  <c r="K192" i="2"/>
  <c r="H193" i="2" s="1"/>
  <c r="K363" i="2"/>
  <c r="J363" i="2"/>
  <c r="I363" i="2"/>
  <c r="H363" i="2"/>
  <c r="G364" i="2"/>
  <c r="E364" i="2"/>
  <c r="L363" i="2"/>
  <c r="I193" i="2" l="1"/>
  <c r="J193" i="2" s="1"/>
  <c r="L193" i="2" s="1"/>
  <c r="K364" i="2"/>
  <c r="H364" i="2"/>
  <c r="L364" i="2"/>
  <c r="J364" i="2"/>
  <c r="I364" i="2"/>
  <c r="G365" i="2"/>
  <c r="E365" i="2"/>
  <c r="K193" i="2" l="1"/>
  <c r="I194" i="2" s="1"/>
  <c r="E366" i="2"/>
  <c r="L365" i="2"/>
  <c r="K365" i="2"/>
  <c r="J365" i="2"/>
  <c r="I365" i="2"/>
  <c r="H365" i="2"/>
  <c r="G366" i="2"/>
  <c r="H194" i="2" l="1"/>
  <c r="J194" i="2" s="1"/>
  <c r="L194" i="2" s="1"/>
  <c r="E367" i="2"/>
  <c r="G367" i="2"/>
  <c r="L366" i="2"/>
  <c r="K366" i="2"/>
  <c r="I366" i="2"/>
  <c r="H366" i="2"/>
  <c r="J366" i="2"/>
  <c r="K194" i="2" l="1"/>
  <c r="H195" i="2" s="1"/>
  <c r="G368" i="2"/>
  <c r="E368" i="2"/>
  <c r="L367" i="2"/>
  <c r="I367" i="2"/>
  <c r="H367" i="2"/>
  <c r="K367" i="2"/>
  <c r="J367" i="2"/>
  <c r="I195" i="2" l="1"/>
  <c r="J195" i="2" s="1"/>
  <c r="H368" i="2"/>
  <c r="G369" i="2"/>
  <c r="E369" i="2"/>
  <c r="L368" i="2"/>
  <c r="K368" i="2"/>
  <c r="J368" i="2"/>
  <c r="I368" i="2"/>
  <c r="L195" i="2" l="1"/>
  <c r="K195" i="2"/>
  <c r="G370" i="2"/>
  <c r="H369" i="2"/>
  <c r="E370" i="2"/>
  <c r="L369" i="2"/>
  <c r="I369" i="2"/>
  <c r="K369" i="2"/>
  <c r="J369" i="2"/>
  <c r="H196" i="2" l="1"/>
  <c r="I196" i="2"/>
  <c r="J370" i="2"/>
  <c r="I370" i="2"/>
  <c r="H370" i="2"/>
  <c r="E371" i="2"/>
  <c r="L370" i="2"/>
  <c r="K370" i="2"/>
  <c r="G371" i="2"/>
  <c r="J196" i="2" l="1"/>
  <c r="L196" i="2" s="1"/>
  <c r="J371" i="2"/>
  <c r="E372" i="2"/>
  <c r="L371" i="2"/>
  <c r="K371" i="2"/>
  <c r="I371" i="2"/>
  <c r="H371" i="2"/>
  <c r="G372" i="2"/>
  <c r="K196" i="2" l="1"/>
  <c r="I197" i="2" s="1"/>
  <c r="L372" i="2"/>
  <c r="K372" i="2"/>
  <c r="J372" i="2"/>
  <c r="I372" i="2"/>
  <c r="G373" i="2"/>
  <c r="E373" i="2"/>
  <c r="H372" i="2"/>
  <c r="H197" i="2" l="1"/>
  <c r="J197" i="2" s="1"/>
  <c r="L373" i="2"/>
  <c r="G374" i="2"/>
  <c r="E374" i="2"/>
  <c r="K373" i="2"/>
  <c r="J373" i="2"/>
  <c r="I373" i="2"/>
  <c r="H373" i="2"/>
  <c r="L197" i="2" l="1"/>
  <c r="K197" i="2"/>
  <c r="I198" i="2" s="1"/>
  <c r="G375" i="2"/>
  <c r="E375" i="2"/>
  <c r="L374" i="2"/>
  <c r="K374" i="2"/>
  <c r="I374" i="2"/>
  <c r="H374" i="2"/>
  <c r="J374" i="2"/>
  <c r="H198" i="2" l="1"/>
  <c r="J198" i="2" s="1"/>
  <c r="L198" i="2" s="1"/>
  <c r="G376" i="2"/>
  <c r="J375" i="2"/>
  <c r="I375" i="2"/>
  <c r="H375" i="2"/>
  <c r="K375" i="2"/>
  <c r="L375" i="2"/>
  <c r="E376" i="2"/>
  <c r="K198" i="2" l="1"/>
  <c r="I199" i="2" s="1"/>
  <c r="G377" i="2"/>
  <c r="E377" i="2"/>
  <c r="L376" i="2"/>
  <c r="K376" i="2"/>
  <c r="J376" i="2"/>
  <c r="I376" i="2"/>
  <c r="H376" i="2"/>
  <c r="H199" i="2" l="1"/>
  <c r="J199" i="2" s="1"/>
  <c r="I377" i="2"/>
  <c r="H377" i="2"/>
  <c r="K377" i="2"/>
  <c r="J377" i="2"/>
  <c r="G378" i="2"/>
  <c r="E378" i="2"/>
  <c r="L377" i="2"/>
  <c r="L199" i="2" l="1"/>
  <c r="K199" i="2"/>
  <c r="H200" i="2" s="1"/>
  <c r="I378" i="2"/>
  <c r="L378" i="2"/>
  <c r="K378" i="2"/>
  <c r="J378" i="2"/>
  <c r="H378" i="2"/>
  <c r="G379" i="2"/>
  <c r="E379" i="2"/>
  <c r="I200" i="2" l="1"/>
  <c r="J200" i="2" s="1"/>
  <c r="K200" i="2" s="1"/>
  <c r="I201" i="2" s="1"/>
  <c r="K379" i="2"/>
  <c r="J379" i="2"/>
  <c r="I379" i="2"/>
  <c r="H379" i="2"/>
  <c r="G380" i="2"/>
  <c r="L379" i="2"/>
  <c r="E380" i="2"/>
  <c r="L200" i="2" l="1"/>
  <c r="H201" i="2"/>
  <c r="J201" i="2" s="1"/>
  <c r="K201" i="2" s="1"/>
  <c r="K380" i="2"/>
  <c r="L380" i="2"/>
  <c r="J380" i="2"/>
  <c r="I380" i="2"/>
  <c r="H380" i="2"/>
  <c r="G381" i="2"/>
  <c r="E381" i="2"/>
  <c r="L201" i="2" l="1"/>
  <c r="H202" i="2"/>
  <c r="I202" i="2"/>
  <c r="E382" i="2"/>
  <c r="L381" i="2"/>
  <c r="K381" i="2"/>
  <c r="J381" i="2"/>
  <c r="G382" i="2"/>
  <c r="I381" i="2"/>
  <c r="H381" i="2"/>
  <c r="J202" i="2" l="1"/>
  <c r="L202" i="2" s="1"/>
  <c r="E383" i="2"/>
  <c r="G383" i="2"/>
  <c r="L382" i="2"/>
  <c r="K382" i="2"/>
  <c r="J382" i="2"/>
  <c r="I382" i="2"/>
  <c r="H382" i="2"/>
  <c r="K202" i="2" l="1"/>
  <c r="H203" i="2" s="1"/>
  <c r="G384" i="2"/>
  <c r="E384" i="2"/>
  <c r="L383" i="2"/>
  <c r="K383" i="2"/>
  <c r="J383" i="2"/>
  <c r="I383" i="2"/>
  <c r="H383" i="2"/>
  <c r="I203" i="2" l="1"/>
  <c r="J203" i="2" s="1"/>
  <c r="H384" i="2"/>
  <c r="I384" i="2"/>
  <c r="J384" i="2"/>
  <c r="G385" i="2"/>
  <c r="E385" i="2"/>
  <c r="L384" i="2"/>
  <c r="K384" i="2"/>
  <c r="K203" i="2" l="1"/>
  <c r="I204" i="2" s="1"/>
  <c r="L203" i="2"/>
  <c r="G386" i="2"/>
  <c r="H385" i="2"/>
  <c r="L385" i="2"/>
  <c r="K385" i="2"/>
  <c r="J385" i="2"/>
  <c r="I385" i="2"/>
  <c r="E386" i="2"/>
  <c r="H204" i="2" l="1"/>
  <c r="J204" i="2" s="1"/>
  <c r="L204" i="2" s="1"/>
  <c r="J386" i="2"/>
  <c r="I386" i="2"/>
  <c r="H386" i="2"/>
  <c r="G387" i="2"/>
  <c r="E387" i="2"/>
  <c r="L386" i="2"/>
  <c r="K386" i="2"/>
  <c r="K204" i="2" l="1"/>
  <c r="I205" i="2" s="1"/>
  <c r="J387" i="2"/>
  <c r="I387" i="2"/>
  <c r="H387" i="2"/>
  <c r="G388" i="2"/>
  <c r="E388" i="2"/>
  <c r="L387" i="2"/>
  <c r="K387" i="2"/>
  <c r="H205" i="2" l="1"/>
  <c r="J205" i="2" s="1"/>
  <c r="L388" i="2"/>
  <c r="K388" i="2"/>
  <c r="J388" i="2"/>
  <c r="I388" i="2"/>
  <c r="E389" i="2"/>
  <c r="H388" i="2"/>
  <c r="G389" i="2"/>
  <c r="L205" i="2" l="1"/>
  <c r="K205" i="2"/>
  <c r="L389" i="2"/>
  <c r="G390" i="2"/>
  <c r="E390" i="2"/>
  <c r="J389" i="2"/>
  <c r="H389" i="2"/>
  <c r="I389" i="2"/>
  <c r="K389" i="2"/>
  <c r="H206" i="2" l="1"/>
  <c r="I206" i="2"/>
  <c r="G391" i="2"/>
  <c r="E391" i="2"/>
  <c r="L390" i="2"/>
  <c r="K390" i="2"/>
  <c r="J390" i="2"/>
  <c r="I390" i="2"/>
  <c r="H390" i="2"/>
  <c r="J206" i="2" l="1"/>
  <c r="G392" i="2"/>
  <c r="E392" i="2"/>
  <c r="L391" i="2"/>
  <c r="K391" i="2"/>
  <c r="J391" i="2"/>
  <c r="I391" i="2"/>
  <c r="H391" i="2"/>
  <c r="L206" i="2" l="1"/>
  <c r="K206" i="2"/>
  <c r="G393" i="2"/>
  <c r="E393" i="2"/>
  <c r="L392" i="2"/>
  <c r="K392" i="2"/>
  <c r="J392" i="2"/>
  <c r="I392" i="2"/>
  <c r="H392" i="2"/>
  <c r="H207" i="2" l="1"/>
  <c r="I207" i="2"/>
  <c r="I393" i="2"/>
  <c r="H393" i="2"/>
  <c r="G394" i="2"/>
  <c r="E394" i="2"/>
  <c r="L393" i="2"/>
  <c r="K393" i="2"/>
  <c r="J393" i="2"/>
  <c r="J207" i="2" l="1"/>
  <c r="I394" i="2"/>
  <c r="J394" i="2"/>
  <c r="H394" i="2"/>
  <c r="G395" i="2"/>
  <c r="E395" i="2"/>
  <c r="L394" i="2"/>
  <c r="K394" i="2"/>
  <c r="L207" i="2" l="1"/>
  <c r="K207" i="2"/>
  <c r="K395" i="2"/>
  <c r="J395" i="2"/>
  <c r="I395" i="2"/>
  <c r="H395" i="2"/>
  <c r="L395" i="2"/>
  <c r="G396" i="2"/>
  <c r="E396" i="2"/>
  <c r="H208" i="2" l="1"/>
  <c r="I208" i="2"/>
  <c r="K396" i="2"/>
  <c r="G397" i="2"/>
  <c r="E397" i="2"/>
  <c r="L396" i="2"/>
  <c r="J396" i="2"/>
  <c r="I396" i="2"/>
  <c r="H396" i="2"/>
  <c r="J208" i="2" l="1"/>
  <c r="E398" i="2"/>
  <c r="L397" i="2"/>
  <c r="K397" i="2"/>
  <c r="J397" i="2"/>
  <c r="H397" i="2"/>
  <c r="G398" i="2"/>
  <c r="I397" i="2"/>
  <c r="L208" i="2" l="1"/>
  <c r="K208" i="2"/>
  <c r="E399" i="2"/>
  <c r="J398" i="2"/>
  <c r="I398" i="2"/>
  <c r="H398" i="2"/>
  <c r="G399" i="2"/>
  <c r="K398" i="2"/>
  <c r="L398" i="2"/>
  <c r="H209" i="2" l="1"/>
  <c r="I209" i="2"/>
  <c r="G400" i="2"/>
  <c r="E400" i="2"/>
  <c r="L399" i="2"/>
  <c r="K399" i="2"/>
  <c r="J399" i="2"/>
  <c r="I399" i="2"/>
  <c r="H399" i="2"/>
  <c r="J209" i="2" l="1"/>
  <c r="H400" i="2"/>
  <c r="L400" i="2"/>
  <c r="K400" i="2"/>
  <c r="J400" i="2"/>
  <c r="I400" i="2"/>
  <c r="E401" i="2"/>
  <c r="G401" i="2"/>
  <c r="L209" i="2" l="1"/>
  <c r="K209" i="2"/>
  <c r="G402" i="2"/>
  <c r="H401" i="2"/>
  <c r="E402" i="2"/>
  <c r="L401" i="2"/>
  <c r="K401" i="2"/>
  <c r="J401" i="2"/>
  <c r="I401" i="2"/>
  <c r="H210" i="2" l="1"/>
  <c r="I210" i="2"/>
  <c r="J402" i="2"/>
  <c r="I402" i="2"/>
  <c r="H402" i="2"/>
  <c r="E403" i="2"/>
  <c r="L402" i="2"/>
  <c r="K402" i="2"/>
  <c r="G403" i="2"/>
  <c r="J210" i="2" l="1"/>
  <c r="J403" i="2"/>
  <c r="E404" i="2"/>
  <c r="L403" i="2"/>
  <c r="K403" i="2"/>
  <c r="I403" i="2"/>
  <c r="H403" i="2"/>
  <c r="G404" i="2"/>
  <c r="L210" i="2" l="1"/>
  <c r="K210" i="2"/>
  <c r="L404" i="2"/>
  <c r="K404" i="2"/>
  <c r="J404" i="2"/>
  <c r="I404" i="2"/>
  <c r="G405" i="2"/>
  <c r="E405" i="2"/>
  <c r="H404" i="2"/>
  <c r="H211" i="2" l="1"/>
  <c r="I211" i="2"/>
  <c r="L405" i="2"/>
  <c r="G406" i="2"/>
  <c r="E406" i="2"/>
  <c r="K405" i="2"/>
  <c r="J405" i="2"/>
  <c r="H405" i="2"/>
  <c r="I405" i="2"/>
  <c r="J211" i="2" l="1"/>
  <c r="G407" i="2"/>
  <c r="E407" i="2"/>
  <c r="L406" i="2"/>
  <c r="K406" i="2"/>
  <c r="J406" i="2"/>
  <c r="I406" i="2"/>
  <c r="H406" i="2"/>
  <c r="L211" i="2" l="1"/>
  <c r="K211" i="2"/>
  <c r="G408" i="2"/>
  <c r="J407" i="2"/>
  <c r="I407" i="2"/>
  <c r="H407" i="2"/>
  <c r="E408" i="2"/>
  <c r="L407" i="2"/>
  <c r="K407" i="2"/>
  <c r="H212" i="2" l="1"/>
  <c r="I212" i="2"/>
  <c r="G409" i="2"/>
  <c r="E409" i="2"/>
  <c r="H408" i="2"/>
  <c r="I408" i="2"/>
  <c r="L408" i="2"/>
  <c r="J408" i="2"/>
  <c r="K408" i="2"/>
  <c r="J212" i="2" l="1"/>
  <c r="L212" i="2" s="1"/>
  <c r="I409" i="2"/>
  <c r="H409" i="2"/>
  <c r="G410" i="2"/>
  <c r="E410" i="2"/>
  <c r="L409" i="2"/>
  <c r="K409" i="2"/>
  <c r="J409" i="2"/>
  <c r="K212" i="2" l="1"/>
  <c r="I213" i="2" s="1"/>
  <c r="I410" i="2"/>
  <c r="K410" i="2"/>
  <c r="J410" i="2"/>
  <c r="H410" i="2"/>
  <c r="G411" i="2"/>
  <c r="E411" i="2"/>
  <c r="L410" i="2"/>
  <c r="H213" i="2" l="1"/>
  <c r="J213" i="2" s="1"/>
  <c r="K411" i="2"/>
  <c r="J411" i="2"/>
  <c r="I411" i="2"/>
  <c r="H411" i="2"/>
  <c r="G412" i="2"/>
  <c r="E412" i="2"/>
  <c r="L411" i="2"/>
  <c r="L213" i="2" l="1"/>
  <c r="K213" i="2"/>
  <c r="H214" i="2" s="1"/>
  <c r="K412" i="2"/>
  <c r="G413" i="2"/>
  <c r="J412" i="2"/>
  <c r="I412" i="2"/>
  <c r="H412" i="2"/>
  <c r="E413" i="2"/>
  <c r="L412" i="2"/>
  <c r="I214" i="2" l="1"/>
  <c r="J214" i="2" s="1"/>
  <c r="L214" i="2" s="1"/>
  <c r="E414" i="2"/>
  <c r="L413" i="2"/>
  <c r="K413" i="2"/>
  <c r="J413" i="2"/>
  <c r="G414" i="2"/>
  <c r="I413" i="2"/>
  <c r="H413" i="2"/>
  <c r="K214" i="2" l="1"/>
  <c r="H215" i="2" s="1"/>
  <c r="E415" i="2"/>
  <c r="H414" i="2"/>
  <c r="L414" i="2"/>
  <c r="K414" i="2"/>
  <c r="J414" i="2"/>
  <c r="I414" i="2"/>
  <c r="G415" i="2"/>
  <c r="I215" i="2" l="1"/>
  <c r="J215" i="2" s="1"/>
  <c r="G416" i="2"/>
  <c r="E416" i="2"/>
  <c r="L415" i="2"/>
  <c r="J415" i="2"/>
  <c r="I415" i="2"/>
  <c r="H415" i="2"/>
  <c r="K415" i="2"/>
  <c r="L215" i="2" l="1"/>
  <c r="K215" i="2"/>
  <c r="H416" i="2"/>
  <c r="G417" i="2"/>
  <c r="E417" i="2"/>
  <c r="L416" i="2"/>
  <c r="K416" i="2"/>
  <c r="J416" i="2"/>
  <c r="I416" i="2"/>
  <c r="I216" i="2" l="1"/>
  <c r="H216" i="2"/>
  <c r="G418" i="2"/>
  <c r="H417" i="2"/>
  <c r="I417" i="2"/>
  <c r="L417" i="2"/>
  <c r="K417" i="2"/>
  <c r="J417" i="2"/>
  <c r="E418" i="2"/>
  <c r="J216" i="2" l="1"/>
  <c r="L216" i="2" s="1"/>
  <c r="J418" i="2"/>
  <c r="I418" i="2"/>
  <c r="H418" i="2"/>
  <c r="G419" i="2"/>
  <c r="E419" i="2"/>
  <c r="L418" i="2"/>
  <c r="K418" i="2"/>
  <c r="K216" i="2" l="1"/>
  <c r="H217" i="2" s="1"/>
  <c r="J419" i="2"/>
  <c r="G420" i="2"/>
  <c r="E420" i="2"/>
  <c r="L419" i="2"/>
  <c r="K419" i="2"/>
  <c r="I419" i="2"/>
  <c r="H419" i="2"/>
  <c r="I217" i="2" l="1"/>
  <c r="J217" i="2" s="1"/>
  <c r="L420" i="2"/>
  <c r="K420" i="2"/>
  <c r="J420" i="2"/>
  <c r="I420" i="2"/>
  <c r="E421" i="2"/>
  <c r="H420" i="2"/>
  <c r="G421" i="2"/>
  <c r="L217" i="2" l="1"/>
  <c r="K217" i="2"/>
  <c r="L421" i="2"/>
  <c r="G422" i="2"/>
  <c r="E422" i="2"/>
  <c r="K421" i="2"/>
  <c r="J421" i="2"/>
  <c r="I421" i="2"/>
  <c r="H421" i="2"/>
  <c r="I218" i="2" l="1"/>
  <c r="H218" i="2"/>
  <c r="G423" i="2"/>
  <c r="E423" i="2"/>
  <c r="L422" i="2"/>
  <c r="K422" i="2"/>
  <c r="H422" i="2"/>
  <c r="J422" i="2"/>
  <c r="I422" i="2"/>
  <c r="J218" i="2" l="1"/>
  <c r="L218" i="2" s="1"/>
  <c r="G424" i="2"/>
  <c r="E424" i="2"/>
  <c r="L423" i="2"/>
  <c r="K423" i="2"/>
  <c r="J423" i="2"/>
  <c r="I423" i="2"/>
  <c r="H423" i="2"/>
  <c r="K218" i="2" l="1"/>
  <c r="H219" i="2" s="1"/>
  <c r="G425" i="2"/>
  <c r="E425" i="2"/>
  <c r="L424" i="2"/>
  <c r="K424" i="2"/>
  <c r="J424" i="2"/>
  <c r="I424" i="2"/>
  <c r="H424" i="2"/>
  <c r="I219" i="2" l="1"/>
  <c r="J219" i="2" s="1"/>
  <c r="L219" i="2" s="1"/>
  <c r="I425" i="2"/>
  <c r="H425" i="2"/>
  <c r="G426" i="2"/>
  <c r="E426" i="2"/>
  <c r="J425" i="2"/>
  <c r="L425" i="2"/>
  <c r="K425" i="2"/>
  <c r="K219" i="2" l="1"/>
  <c r="I220" i="2" s="1"/>
  <c r="I426" i="2"/>
  <c r="G427" i="2"/>
  <c r="E427" i="2"/>
  <c r="L426" i="2"/>
  <c r="K426" i="2"/>
  <c r="J426" i="2"/>
  <c r="H426" i="2"/>
  <c r="H220" i="2" l="1"/>
  <c r="J220" i="2" s="1"/>
  <c r="L220" i="2" s="1"/>
  <c r="K427" i="2"/>
  <c r="J427" i="2"/>
  <c r="I427" i="2"/>
  <c r="H427" i="2"/>
  <c r="E428" i="2"/>
  <c r="L427" i="2"/>
  <c r="G428" i="2"/>
  <c r="K220" i="2" l="1"/>
  <c r="H221" i="2" s="1"/>
  <c r="K428" i="2"/>
  <c r="L428" i="2"/>
  <c r="J428" i="2"/>
  <c r="I428" i="2"/>
  <c r="H428" i="2"/>
  <c r="G429" i="2"/>
  <c r="E429" i="2"/>
  <c r="I221" i="2" l="1"/>
  <c r="J221" i="2" s="1"/>
  <c r="L221" i="2" s="1"/>
  <c r="E430" i="2"/>
  <c r="L429" i="2"/>
  <c r="K429" i="2"/>
  <c r="J429" i="2"/>
  <c r="G430" i="2"/>
  <c r="I429" i="2"/>
  <c r="H429" i="2"/>
  <c r="K221" i="2" l="1"/>
  <c r="H222" i="2" s="1"/>
  <c r="E431" i="2"/>
  <c r="K430" i="2"/>
  <c r="J430" i="2"/>
  <c r="I430" i="2"/>
  <c r="H430" i="2"/>
  <c r="L430" i="2"/>
  <c r="G431" i="2"/>
  <c r="I222" i="2" l="1"/>
  <c r="J222" i="2" s="1"/>
  <c r="G432" i="2"/>
  <c r="E432" i="2"/>
  <c r="L431" i="2"/>
  <c r="K431" i="2"/>
  <c r="J431" i="2"/>
  <c r="I431" i="2"/>
  <c r="H431" i="2"/>
  <c r="L222" i="2" l="1"/>
  <c r="K222" i="2"/>
  <c r="H432" i="2"/>
  <c r="G433" i="2"/>
  <c r="I432" i="2"/>
  <c r="E433" i="2"/>
  <c r="L432" i="2"/>
  <c r="K432" i="2"/>
  <c r="J432" i="2"/>
  <c r="I223" i="2" l="1"/>
  <c r="H223" i="2"/>
  <c r="G434" i="2"/>
  <c r="H433" i="2"/>
  <c r="L433" i="2"/>
  <c r="K433" i="2"/>
  <c r="J433" i="2"/>
  <c r="I433" i="2"/>
  <c r="E434" i="2"/>
  <c r="J223" i="2" l="1"/>
  <c r="L223" i="2" s="1"/>
  <c r="J434" i="2"/>
  <c r="I434" i="2"/>
  <c r="H434" i="2"/>
  <c r="G435" i="2"/>
  <c r="E435" i="2"/>
  <c r="L434" i="2"/>
  <c r="K434" i="2"/>
  <c r="K223" i="2" l="1"/>
  <c r="I224" i="2" s="1"/>
  <c r="J435" i="2"/>
  <c r="G436" i="2"/>
  <c r="E436" i="2"/>
  <c r="L435" i="2"/>
  <c r="K435" i="2"/>
  <c r="H435" i="2"/>
  <c r="I435" i="2"/>
  <c r="H224" i="2" l="1"/>
  <c r="J224" i="2" s="1"/>
  <c r="K224" i="2" s="1"/>
  <c r="I225" i="2" s="1"/>
  <c r="L436" i="2"/>
  <c r="K436" i="2"/>
  <c r="J436" i="2"/>
  <c r="I436" i="2"/>
  <c r="G437" i="2"/>
  <c r="E437" i="2"/>
  <c r="H436" i="2"/>
  <c r="H225" i="2" l="1"/>
  <c r="J225" i="2" s="1"/>
  <c r="K225" i="2" s="1"/>
  <c r="I226" i="2" s="1"/>
  <c r="L224" i="2"/>
  <c r="L437" i="2"/>
  <c r="I437" i="2"/>
  <c r="H437" i="2"/>
  <c r="J437" i="2"/>
  <c r="E438" i="2"/>
  <c r="K437" i="2"/>
  <c r="G438" i="2"/>
  <c r="L225" i="2" l="1"/>
  <c r="H226" i="2"/>
  <c r="J226" i="2" s="1"/>
  <c r="G439" i="2"/>
  <c r="E439" i="2"/>
  <c r="L438" i="2"/>
  <c r="K438" i="2"/>
  <c r="J438" i="2"/>
  <c r="I438" i="2"/>
  <c r="H438" i="2"/>
  <c r="L226" i="2" l="1"/>
  <c r="K226" i="2"/>
  <c r="I227" i="2" s="1"/>
  <c r="G440" i="2"/>
  <c r="E440" i="2"/>
  <c r="L439" i="2"/>
  <c r="I439" i="2"/>
  <c r="H439" i="2"/>
  <c r="K439" i="2"/>
  <c r="J439" i="2"/>
  <c r="H227" i="2" l="1"/>
  <c r="J227" i="2" s="1"/>
  <c r="L227" i="2" s="1"/>
  <c r="G441" i="2"/>
  <c r="E441" i="2"/>
  <c r="J440" i="2"/>
  <c r="I440" i="2"/>
  <c r="H440" i="2"/>
  <c r="L440" i="2"/>
  <c r="K440" i="2"/>
  <c r="K227" i="2" l="1"/>
  <c r="H228" i="2" s="1"/>
  <c r="I441" i="2"/>
  <c r="H441" i="2"/>
  <c r="E442" i="2"/>
  <c r="L441" i="2"/>
  <c r="K441" i="2"/>
  <c r="J441" i="2"/>
  <c r="G442" i="2"/>
  <c r="I228" i="2" l="1"/>
  <c r="J228" i="2" s="1"/>
  <c r="I442" i="2"/>
  <c r="G443" i="2"/>
  <c r="E443" i="2"/>
  <c r="K442" i="2"/>
  <c r="J442" i="2"/>
  <c r="H442" i="2"/>
  <c r="L442" i="2"/>
  <c r="L228" i="2" l="1"/>
  <c r="K228" i="2"/>
  <c r="K443" i="2"/>
  <c r="J443" i="2"/>
  <c r="I443" i="2"/>
  <c r="H443" i="2"/>
  <c r="G444" i="2"/>
  <c r="E444" i="2"/>
  <c r="L443" i="2"/>
  <c r="I229" i="2" l="1"/>
  <c r="H229" i="2"/>
  <c r="K444" i="2"/>
  <c r="G445" i="2"/>
  <c r="E445" i="2"/>
  <c r="L444" i="2"/>
  <c r="J444" i="2"/>
  <c r="I444" i="2"/>
  <c r="H444" i="2"/>
  <c r="J229" i="2" l="1"/>
  <c r="L229" i="2" s="1"/>
  <c r="E446" i="2"/>
  <c r="L445" i="2"/>
  <c r="K445" i="2"/>
  <c r="J445" i="2"/>
  <c r="G446" i="2"/>
  <c r="I445" i="2"/>
  <c r="H445" i="2"/>
  <c r="K229" i="2" l="1"/>
  <c r="I230" i="2" s="1"/>
  <c r="E447" i="2"/>
  <c r="G447" i="2"/>
  <c r="L446" i="2"/>
  <c r="K446" i="2"/>
  <c r="J446" i="2"/>
  <c r="I446" i="2"/>
  <c r="H446" i="2"/>
  <c r="H230" i="2" l="1"/>
  <c r="J230" i="2" s="1"/>
  <c r="G448" i="2"/>
  <c r="E448" i="2"/>
  <c r="L447" i="2"/>
  <c r="H447" i="2"/>
  <c r="I447" i="2"/>
  <c r="K447" i="2"/>
  <c r="J447" i="2"/>
  <c r="L230" i="2" l="1"/>
  <c r="K230" i="2"/>
  <c r="I231" i="2" s="1"/>
  <c r="H448" i="2"/>
  <c r="G449" i="2"/>
  <c r="E449" i="2"/>
  <c r="L448" i="2"/>
  <c r="K448" i="2"/>
  <c r="J448" i="2"/>
  <c r="I448" i="2"/>
  <c r="H231" i="2" l="1"/>
  <c r="J231" i="2" s="1"/>
  <c r="L231" i="2" s="1"/>
  <c r="G450" i="2"/>
  <c r="H449" i="2"/>
  <c r="E450" i="2"/>
  <c r="L449" i="2"/>
  <c r="K449" i="2"/>
  <c r="J449" i="2"/>
  <c r="I449" i="2"/>
  <c r="K231" i="2" l="1"/>
  <c r="H232" i="2" s="1"/>
  <c r="J450" i="2"/>
  <c r="I450" i="2"/>
  <c r="H450" i="2"/>
  <c r="L450" i="2"/>
  <c r="K450" i="2"/>
  <c r="G451" i="2"/>
  <c r="E451" i="2"/>
  <c r="I232" i="2" l="1"/>
  <c r="J232" i="2" s="1"/>
  <c r="J451" i="2"/>
  <c r="K451" i="2"/>
  <c r="I451" i="2"/>
  <c r="H451" i="2"/>
  <c r="E452" i="2"/>
  <c r="G452" i="2"/>
  <c r="L451" i="2"/>
  <c r="L232" i="2" l="1"/>
  <c r="K232" i="2"/>
  <c r="L452" i="2"/>
  <c r="K452" i="2"/>
  <c r="J452" i="2"/>
  <c r="I452" i="2"/>
  <c r="G453" i="2"/>
  <c r="H452" i="2"/>
  <c r="E453" i="2"/>
  <c r="I233" i="2" l="1"/>
  <c r="H233" i="2"/>
  <c r="L453" i="2"/>
  <c r="E454" i="2"/>
  <c r="K453" i="2"/>
  <c r="J453" i="2"/>
  <c r="I453" i="2"/>
  <c r="H453" i="2"/>
  <c r="G454" i="2"/>
  <c r="J233" i="2" l="1"/>
  <c r="L233" i="2" s="1"/>
  <c r="G455" i="2"/>
  <c r="E455" i="2"/>
  <c r="L454" i="2"/>
  <c r="K454" i="2"/>
  <c r="J454" i="2"/>
  <c r="I454" i="2"/>
  <c r="H454" i="2"/>
  <c r="K233" i="2" l="1"/>
  <c r="H234" i="2" s="1"/>
  <c r="G456" i="2"/>
  <c r="E456" i="2"/>
  <c r="L455" i="2"/>
  <c r="K455" i="2"/>
  <c r="J455" i="2"/>
  <c r="I455" i="2"/>
  <c r="H455" i="2"/>
  <c r="I234" i="2" l="1"/>
  <c r="J234" i="2" s="1"/>
  <c r="G457" i="2"/>
  <c r="E457" i="2"/>
  <c r="L456" i="2"/>
  <c r="K456" i="2"/>
  <c r="J456" i="2"/>
  <c r="I456" i="2"/>
  <c r="H456" i="2"/>
  <c r="L234" i="2" l="1"/>
  <c r="K234" i="2"/>
  <c r="I457" i="2"/>
  <c r="H457" i="2"/>
  <c r="J457" i="2"/>
  <c r="L457" i="2"/>
  <c r="K457" i="2"/>
  <c r="G458" i="2"/>
  <c r="E458" i="2"/>
  <c r="I235" i="2" l="1"/>
  <c r="H235" i="2"/>
  <c r="I458" i="2"/>
  <c r="G459" i="2"/>
  <c r="E459" i="2"/>
  <c r="J458" i="2"/>
  <c r="L458" i="2"/>
  <c r="H458" i="2"/>
  <c r="K458" i="2"/>
  <c r="J235" i="2" l="1"/>
  <c r="L235" i="2" s="1"/>
  <c r="K459" i="2"/>
  <c r="J459" i="2"/>
  <c r="I459" i="2"/>
  <c r="H459" i="2"/>
  <c r="G460" i="2"/>
  <c r="E460" i="2"/>
  <c r="L459" i="2"/>
  <c r="K235" i="2" l="1"/>
  <c r="H236" i="2" s="1"/>
  <c r="K460" i="2"/>
  <c r="J460" i="2"/>
  <c r="I460" i="2"/>
  <c r="H460" i="2"/>
  <c r="G461" i="2"/>
  <c r="E461" i="2"/>
  <c r="L460" i="2"/>
  <c r="I236" i="2" l="1"/>
  <c r="J236" i="2" s="1"/>
  <c r="E462" i="2"/>
  <c r="L461" i="2"/>
  <c r="K461" i="2"/>
  <c r="J461" i="2"/>
  <c r="H461" i="2"/>
  <c r="G462" i="2"/>
  <c r="I461" i="2"/>
  <c r="L236" i="2" l="1"/>
  <c r="K236" i="2"/>
  <c r="E463" i="2"/>
  <c r="G463" i="2"/>
  <c r="L462" i="2"/>
  <c r="K462" i="2"/>
  <c r="J462" i="2"/>
  <c r="I462" i="2"/>
  <c r="H462" i="2"/>
  <c r="I237" i="2" l="1"/>
  <c r="H237" i="2"/>
  <c r="G464" i="2"/>
  <c r="E464" i="2"/>
  <c r="L463" i="2"/>
  <c r="K463" i="2"/>
  <c r="J463" i="2"/>
  <c r="I463" i="2"/>
  <c r="H463" i="2"/>
  <c r="J237" i="2" l="1"/>
  <c r="L237" i="2" s="1"/>
  <c r="H464" i="2"/>
  <c r="G465" i="2"/>
  <c r="E465" i="2"/>
  <c r="I464" i="2"/>
  <c r="L464" i="2"/>
  <c r="K464" i="2"/>
  <c r="J464" i="2"/>
  <c r="K237" i="2" l="1"/>
  <c r="I238" i="2" s="1"/>
  <c r="G466" i="2"/>
  <c r="H465" i="2"/>
  <c r="K465" i="2"/>
  <c r="J465" i="2"/>
  <c r="I465" i="2"/>
  <c r="E466" i="2"/>
  <c r="L465" i="2"/>
  <c r="H238" i="2" l="1"/>
  <c r="J238" i="2" s="1"/>
  <c r="J466" i="2"/>
  <c r="I466" i="2"/>
  <c r="H466" i="2"/>
  <c r="G467" i="2"/>
  <c r="E467" i="2"/>
  <c r="L466" i="2"/>
  <c r="K466" i="2"/>
  <c r="L238" i="2" l="1"/>
  <c r="K238" i="2"/>
  <c r="I239" i="2" s="1"/>
  <c r="J467" i="2"/>
  <c r="H467" i="2"/>
  <c r="K467" i="2"/>
  <c r="I467" i="2"/>
  <c r="G468" i="2"/>
  <c r="E468" i="2"/>
  <c r="L467" i="2"/>
  <c r="H239" i="2" l="1"/>
  <c r="J239" i="2" s="1"/>
  <c r="L239" i="2" s="1"/>
  <c r="L468" i="2"/>
  <c r="K468" i="2"/>
  <c r="J468" i="2"/>
  <c r="I468" i="2"/>
  <c r="G469" i="2"/>
  <c r="E469" i="2"/>
  <c r="H468" i="2"/>
  <c r="K239" i="2" l="1"/>
  <c r="I240" i="2" s="1"/>
  <c r="L469" i="2"/>
  <c r="G470" i="2"/>
  <c r="E470" i="2"/>
  <c r="K469" i="2"/>
  <c r="J469" i="2"/>
  <c r="I469" i="2"/>
  <c r="H469" i="2"/>
  <c r="H240" i="2" l="1"/>
  <c r="J240" i="2" s="1"/>
  <c r="L240" i="2" s="1"/>
  <c r="G471" i="2"/>
  <c r="E471" i="2"/>
  <c r="L470" i="2"/>
  <c r="K470" i="2"/>
  <c r="I470" i="2"/>
  <c r="H470" i="2"/>
  <c r="J470" i="2"/>
  <c r="K240" i="2" l="1"/>
  <c r="I241" i="2" s="1"/>
  <c r="G472" i="2"/>
  <c r="I471" i="2"/>
  <c r="H471" i="2"/>
  <c r="K471" i="2"/>
  <c r="J471" i="2"/>
  <c r="L471" i="2"/>
  <c r="E472" i="2"/>
  <c r="H241" i="2" l="1"/>
  <c r="J241" i="2" s="1"/>
  <c r="L241" i="2" s="1"/>
  <c r="G473" i="2"/>
  <c r="E473" i="2"/>
  <c r="L472" i="2"/>
  <c r="H472" i="2"/>
  <c r="K472" i="2"/>
  <c r="I472" i="2"/>
  <c r="J472" i="2"/>
  <c r="K241" i="2" l="1"/>
  <c r="H242" i="2" s="1"/>
  <c r="I473" i="2"/>
  <c r="H473" i="2"/>
  <c r="E474" i="2"/>
  <c r="L473" i="2"/>
  <c r="K473" i="2"/>
  <c r="J473" i="2"/>
  <c r="G474" i="2"/>
  <c r="I242" i="2" l="1"/>
  <c r="J242" i="2" s="1"/>
  <c r="I474" i="2"/>
  <c r="G475" i="2"/>
  <c r="E475" i="2"/>
  <c r="L474" i="2"/>
  <c r="K474" i="2"/>
  <c r="J474" i="2"/>
  <c r="H474" i="2"/>
  <c r="L242" i="2" l="1"/>
  <c r="K242" i="2"/>
  <c r="K475" i="2"/>
  <c r="J475" i="2"/>
  <c r="I475" i="2"/>
  <c r="H475" i="2"/>
  <c r="L475" i="2"/>
  <c r="G476" i="2"/>
  <c r="E476" i="2"/>
  <c r="I243" i="2" l="1"/>
  <c r="H243" i="2"/>
  <c r="K476" i="2"/>
  <c r="G477" i="2"/>
  <c r="E477" i="2"/>
  <c r="L476" i="2"/>
  <c r="J476" i="2"/>
  <c r="I476" i="2"/>
  <c r="H476" i="2"/>
  <c r="J243" i="2" l="1"/>
  <c r="L243" i="2" s="1"/>
  <c r="E478" i="2"/>
  <c r="L477" i="2"/>
  <c r="K477" i="2"/>
  <c r="J477" i="2"/>
  <c r="G478" i="2"/>
  <c r="I477" i="2"/>
  <c r="H477" i="2"/>
  <c r="K243" i="2" l="1"/>
  <c r="I244" i="2" s="1"/>
  <c r="E479" i="2"/>
  <c r="G479" i="2"/>
  <c r="H478" i="2"/>
  <c r="I478" i="2"/>
  <c r="L478" i="2"/>
  <c r="K478" i="2"/>
  <c r="J478" i="2"/>
  <c r="H244" i="2" l="1"/>
  <c r="J244" i="2" s="1"/>
  <c r="L244" i="2" s="1"/>
  <c r="G480" i="2"/>
  <c r="E480" i="2"/>
  <c r="L479" i="2"/>
  <c r="K479" i="2"/>
  <c r="J479" i="2"/>
  <c r="I479" i="2"/>
  <c r="H479" i="2"/>
  <c r="K244" i="2" l="1"/>
  <c r="H245" i="2" s="1"/>
  <c r="H480" i="2"/>
  <c r="K480" i="2"/>
  <c r="J480" i="2"/>
  <c r="I480" i="2"/>
  <c r="E481" i="2"/>
  <c r="L480" i="2"/>
  <c r="G481" i="2"/>
  <c r="I245" i="2" l="1"/>
  <c r="J245" i="2" s="1"/>
  <c r="G482" i="2"/>
  <c r="H481" i="2"/>
  <c r="E482" i="2"/>
  <c r="L481" i="2"/>
  <c r="K481" i="2"/>
  <c r="J481" i="2"/>
  <c r="I481" i="2"/>
  <c r="L245" i="2" l="1"/>
  <c r="K245" i="2"/>
  <c r="J482" i="2"/>
  <c r="I482" i="2"/>
  <c r="H482" i="2"/>
  <c r="G483" i="2"/>
  <c r="E483" i="2"/>
  <c r="L482" i="2"/>
  <c r="K482" i="2"/>
  <c r="H246" i="2" l="1"/>
  <c r="I246" i="2"/>
  <c r="J483" i="2"/>
  <c r="L483" i="2"/>
  <c r="K483" i="2"/>
  <c r="I483" i="2"/>
  <c r="H483" i="2"/>
  <c r="G484" i="2"/>
  <c r="E484" i="2"/>
  <c r="J246" i="2" l="1"/>
  <c r="L246" i="2" s="1"/>
  <c r="L484" i="2"/>
  <c r="K484" i="2"/>
  <c r="J484" i="2"/>
  <c r="I484" i="2"/>
  <c r="G485" i="2"/>
  <c r="E485" i="2"/>
  <c r="H484" i="2"/>
  <c r="K246" i="2" l="1"/>
  <c r="H247" i="2" s="1"/>
  <c r="L485" i="2"/>
  <c r="I485" i="2"/>
  <c r="H485" i="2"/>
  <c r="J485" i="2"/>
  <c r="G486" i="2"/>
  <c r="E486" i="2"/>
  <c r="K485" i="2"/>
  <c r="I247" i="2" l="1"/>
  <c r="J247" i="2" s="1"/>
  <c r="G487" i="2"/>
  <c r="E487" i="2"/>
  <c r="L486" i="2"/>
  <c r="K486" i="2"/>
  <c r="J486" i="2"/>
  <c r="I486" i="2"/>
  <c r="H486" i="2"/>
  <c r="L247" i="2" l="1"/>
  <c r="K247" i="2"/>
  <c r="I248" i="2" s="1"/>
  <c r="G488" i="2"/>
  <c r="I487" i="2"/>
  <c r="H487" i="2"/>
  <c r="L487" i="2"/>
  <c r="K487" i="2"/>
  <c r="J487" i="2"/>
  <c r="E488" i="2"/>
  <c r="H248" i="2" l="1"/>
  <c r="J248" i="2" s="1"/>
  <c r="G489" i="2"/>
  <c r="E489" i="2"/>
  <c r="L488" i="2"/>
  <c r="K488" i="2"/>
  <c r="H488" i="2"/>
  <c r="J488" i="2"/>
  <c r="I488" i="2"/>
  <c r="L248" i="2" l="1"/>
  <c r="K248" i="2"/>
  <c r="I489" i="2"/>
  <c r="H489" i="2"/>
  <c r="G490" i="2"/>
  <c r="E490" i="2"/>
  <c r="L489" i="2"/>
  <c r="K489" i="2"/>
  <c r="J489" i="2"/>
  <c r="I249" i="2" l="1"/>
  <c r="H249" i="2"/>
  <c r="I490" i="2"/>
  <c r="J490" i="2"/>
  <c r="H490" i="2"/>
  <c r="K490" i="2"/>
  <c r="G491" i="2"/>
  <c r="E491" i="2"/>
  <c r="L490" i="2"/>
  <c r="J249" i="2" l="1"/>
  <c r="K249" i="2" s="1"/>
  <c r="I250" i="2" s="1"/>
  <c r="K491" i="2"/>
  <c r="J491" i="2"/>
  <c r="I491" i="2"/>
  <c r="H491" i="2"/>
  <c r="G492" i="2"/>
  <c r="E492" i="2"/>
  <c r="L491" i="2"/>
  <c r="H250" i="2" l="1"/>
  <c r="J250" i="2" s="1"/>
  <c r="L249" i="2"/>
  <c r="K492" i="2"/>
  <c r="G493" i="2"/>
  <c r="E493" i="2"/>
  <c r="L492" i="2"/>
  <c r="J492" i="2"/>
  <c r="I492" i="2"/>
  <c r="H492" i="2"/>
  <c r="L250" i="2" l="1"/>
  <c r="K250" i="2"/>
  <c r="I251" i="2" s="1"/>
  <c r="E494" i="2"/>
  <c r="L493" i="2"/>
  <c r="K493" i="2"/>
  <c r="J493" i="2"/>
  <c r="G494" i="2"/>
  <c r="I493" i="2"/>
  <c r="H493" i="2"/>
  <c r="H251" i="2" l="1"/>
  <c r="J251" i="2" s="1"/>
  <c r="L251" i="2" s="1"/>
  <c r="E495" i="2"/>
  <c r="G495" i="2"/>
  <c r="L494" i="2"/>
  <c r="K494" i="2"/>
  <c r="J494" i="2"/>
  <c r="I494" i="2"/>
  <c r="H494" i="2"/>
  <c r="K251" i="2" l="1"/>
  <c r="I252" i="2" s="1"/>
  <c r="G496" i="2"/>
  <c r="E496" i="2"/>
  <c r="L495" i="2"/>
  <c r="K495" i="2"/>
  <c r="J495" i="2"/>
  <c r="I495" i="2"/>
  <c r="H495" i="2"/>
  <c r="H252" i="2" l="1"/>
  <c r="J252" i="2" s="1"/>
  <c r="L252" i="2" s="1"/>
  <c r="H496" i="2"/>
  <c r="G497" i="2"/>
  <c r="E497" i="2"/>
  <c r="L496" i="2"/>
  <c r="K496" i="2"/>
  <c r="J496" i="2"/>
  <c r="I496" i="2"/>
  <c r="K252" i="2" l="1"/>
  <c r="H253" i="2" s="1"/>
  <c r="G498" i="2"/>
  <c r="H497" i="2"/>
  <c r="E498" i="2"/>
  <c r="L497" i="2"/>
  <c r="K497" i="2"/>
  <c r="J497" i="2"/>
  <c r="I497" i="2"/>
  <c r="I253" i="2" l="1"/>
  <c r="J253" i="2" s="1"/>
  <c r="J498" i="2"/>
  <c r="I498" i="2"/>
  <c r="H498" i="2"/>
  <c r="G499" i="2"/>
  <c r="E499" i="2"/>
  <c r="L498" i="2"/>
  <c r="K498" i="2"/>
  <c r="L253" i="2" l="1"/>
  <c r="K253" i="2"/>
  <c r="J499" i="2"/>
  <c r="G500" i="2"/>
  <c r="E500" i="2"/>
  <c r="L499" i="2"/>
  <c r="K499" i="2"/>
  <c r="I499" i="2"/>
  <c r="H499" i="2"/>
  <c r="I254" i="2" l="1"/>
  <c r="H254" i="2"/>
  <c r="L500" i="2"/>
  <c r="K500" i="2"/>
  <c r="J500" i="2"/>
  <c r="I500" i="2"/>
  <c r="H500" i="2"/>
  <c r="J254" i="2" l="1"/>
  <c r="L254" i="2" s="1"/>
  <c r="K254" i="2" l="1"/>
  <c r="I255" i="2" s="1"/>
  <c r="H255" i="2" l="1"/>
  <c r="J255" i="2" s="1"/>
  <c r="L255" i="2" s="1"/>
  <c r="K255" i="2" l="1"/>
  <c r="I256" i="2" s="1"/>
  <c r="H256" i="2" l="1"/>
  <c r="J256" i="2" s="1"/>
  <c r="L256" i="2" s="1"/>
  <c r="K256" i="2" l="1"/>
  <c r="I257" i="2" s="1"/>
  <c r="H257" i="2" l="1"/>
  <c r="J257" i="2" s="1"/>
  <c r="L257" i="2" s="1"/>
  <c r="K257" i="2" l="1"/>
  <c r="H258" i="2" s="1"/>
  <c r="I258" i="2" l="1"/>
  <c r="J258" i="2" s="1"/>
  <c r="L258" i="2" l="1"/>
  <c r="K258" i="2"/>
  <c r="H259" i="2" l="1"/>
  <c r="I259" i="2"/>
  <c r="J259" i="2" l="1"/>
  <c r="L259" i="2" l="1"/>
  <c r="K259" i="2"/>
  <c r="I260" i="2" l="1"/>
  <c r="H260" i="2"/>
  <c r="J260" i="2" s="1"/>
  <c r="L260" i="2" s="1"/>
  <c r="K260" i="2" l="1"/>
  <c r="I261" i="2" l="1"/>
  <c r="H261" i="2"/>
  <c r="J261" i="2" l="1"/>
  <c r="L261" i="2" s="1"/>
  <c r="K261" i="2" l="1"/>
  <c r="H262" i="2" s="1"/>
  <c r="I262" i="2" l="1"/>
  <c r="J262" i="2" s="1"/>
  <c r="L262" i="2" l="1"/>
  <c r="K262" i="2"/>
  <c r="H263" i="2" l="1"/>
  <c r="I263" i="2"/>
  <c r="J263" i="2" l="1"/>
  <c r="L263" i="2" l="1"/>
  <c r="K263" i="2"/>
  <c r="I264" i="2" l="1"/>
  <c r="H264" i="2"/>
  <c r="J264" i="2" s="1"/>
  <c r="L264" i="2" s="1"/>
  <c r="K264" i="2" l="1"/>
  <c r="H265" i="2" l="1"/>
  <c r="I265" i="2"/>
  <c r="J265" i="2" l="1"/>
  <c r="L265" i="2" l="1"/>
  <c r="K265" i="2"/>
  <c r="H266" i="2" l="1"/>
  <c r="I266" i="2"/>
  <c r="J266" i="2" l="1"/>
  <c r="L266" i="2" l="1"/>
  <c r="K266" i="2"/>
  <c r="H267" i="2" l="1"/>
  <c r="I267" i="2"/>
  <c r="J267" i="2" l="1"/>
  <c r="L267" i="2" l="1"/>
  <c r="K267" i="2"/>
  <c r="I268" i="2" l="1"/>
  <c r="H268" i="2"/>
  <c r="J268" i="2" l="1"/>
  <c r="L268" i="2" s="1"/>
  <c r="K268" i="2" l="1"/>
  <c r="I269" i="2" s="1"/>
  <c r="H269" i="2" l="1"/>
  <c r="J269" i="2" s="1"/>
  <c r="L269" i="2" s="1"/>
  <c r="K269" i="2" l="1"/>
  <c r="H270" i="2" s="1"/>
  <c r="I270" i="2" l="1"/>
  <c r="J270" i="2" s="1"/>
  <c r="K270" i="2" l="1"/>
  <c r="H271" i="2" s="1"/>
  <c r="L270" i="2"/>
  <c r="I271" i="2" l="1"/>
  <c r="J271" i="2" s="1"/>
  <c r="L271" i="2" l="1"/>
  <c r="K271" i="2"/>
  <c r="I272" i="2" l="1"/>
  <c r="H272" i="2"/>
  <c r="J272" i="2" l="1"/>
  <c r="L272" i="2" s="1"/>
  <c r="K272" i="2" l="1"/>
  <c r="H273" i="2" s="1"/>
  <c r="I273" i="2" l="1"/>
  <c r="J273" i="2" s="1"/>
  <c r="L273" i="2" l="1"/>
  <c r="K273" i="2"/>
  <c r="I274" i="2" l="1"/>
  <c r="H274" i="2"/>
  <c r="J274" i="2" l="1"/>
  <c r="K274" i="2" s="1"/>
  <c r="H275" i="2" s="1"/>
  <c r="I275" i="2" l="1"/>
  <c r="J275" i="2" s="1"/>
  <c r="L274" i="2"/>
  <c r="L275" i="2" l="1"/>
  <c r="K275" i="2"/>
  <c r="I276" i="2" l="1"/>
  <c r="H276" i="2"/>
  <c r="J276" i="2" l="1"/>
  <c r="K276" i="2" l="1"/>
  <c r="L276" i="2"/>
  <c r="I277" i="2" l="1"/>
  <c r="H277" i="2"/>
  <c r="J277" i="2" l="1"/>
  <c r="L277" i="2" l="1"/>
  <c r="K277" i="2"/>
  <c r="I278" i="2" l="1"/>
  <c r="H278" i="2"/>
  <c r="J278" i="2" l="1"/>
  <c r="L278" i="2" l="1"/>
  <c r="K278" i="2"/>
  <c r="H279" i="2" l="1"/>
  <c r="I279" i="2"/>
  <c r="J279" i="2" l="1"/>
  <c r="K279" i="2" l="1"/>
  <c r="L279" i="2"/>
  <c r="I280" i="2" l="1"/>
  <c r="H280" i="2"/>
  <c r="J280" i="2" l="1"/>
  <c r="L280" i="2" l="1"/>
  <c r="K280" i="2"/>
  <c r="I281" i="2" l="1"/>
  <c r="H281" i="2"/>
  <c r="J281" i="2" s="1"/>
  <c r="L281" i="2" s="1"/>
  <c r="K281" i="2" l="1"/>
  <c r="H282" i="2" l="1"/>
  <c r="I282" i="2"/>
  <c r="J282" i="2" l="1"/>
  <c r="L282" i="2" l="1"/>
  <c r="K282" i="2"/>
  <c r="I283" i="2" l="1"/>
  <c r="H283" i="2"/>
  <c r="J283" i="2" l="1"/>
  <c r="L283" i="2" s="1"/>
  <c r="K283" i="2" l="1"/>
  <c r="I284" i="2" s="1"/>
  <c r="H284" i="2" l="1"/>
  <c r="J284" i="2" s="1"/>
  <c r="L284" i="2" s="1"/>
  <c r="K284" i="2" l="1"/>
  <c r="I285" i="2" s="1"/>
  <c r="H285" i="2" l="1"/>
  <c r="J285" i="2" s="1"/>
  <c r="L285" i="2" s="1"/>
  <c r="K285" i="2" l="1"/>
  <c r="I286" i="2" s="1"/>
  <c r="H286" i="2" l="1"/>
  <c r="J286" i="2" s="1"/>
  <c r="L286" i="2" s="1"/>
  <c r="K286" i="2" l="1"/>
  <c r="I287" i="2" s="1"/>
  <c r="H287" i="2" l="1"/>
  <c r="J287" i="2" s="1"/>
  <c r="L287" i="2" s="1"/>
  <c r="K287" i="2" l="1"/>
  <c r="H288" i="2" s="1"/>
  <c r="I288" i="2" l="1"/>
  <c r="J288" i="2" s="1"/>
  <c r="L288" i="2" l="1"/>
  <c r="K288" i="2"/>
  <c r="H289" i="2" l="1"/>
  <c r="I289" i="2"/>
  <c r="J289" i="2" l="1"/>
  <c r="L289" i="2" l="1"/>
  <c r="K289" i="2"/>
  <c r="I290" i="2" l="1"/>
  <c r="H290" i="2"/>
  <c r="J290" i="2" l="1"/>
  <c r="K290" i="2" s="1"/>
  <c r="H291" i="2" s="1"/>
  <c r="I291" i="2" l="1"/>
  <c r="J291" i="2" s="1"/>
  <c r="K291" i="2" s="1"/>
  <c r="I292" i="2" s="1"/>
  <c r="L290" i="2"/>
  <c r="L291" i="2" l="1"/>
  <c r="H292" i="2"/>
  <c r="J292" i="2" s="1"/>
  <c r="K292" i="2" s="1"/>
  <c r="H293" i="2" l="1"/>
  <c r="I293" i="2"/>
  <c r="L292" i="2"/>
  <c r="J293" i="2" l="1"/>
  <c r="K293" i="2" s="1"/>
  <c r="L293" i="2" l="1"/>
  <c r="I294" i="2"/>
  <c r="H294" i="2"/>
  <c r="J294" i="2" s="1"/>
  <c r="K294" i="2" s="1"/>
  <c r="L294" i="2" l="1"/>
  <c r="H295" i="2"/>
  <c r="I295" i="2"/>
  <c r="J295" i="2" l="1"/>
  <c r="K295" i="2" s="1"/>
  <c r="H296" i="2" s="1"/>
  <c r="L295" i="2" l="1"/>
  <c r="I296" i="2"/>
  <c r="J296" i="2" s="1"/>
  <c r="K296" i="2" s="1"/>
  <c r="H297" i="2" s="1"/>
  <c r="L296" i="2" l="1"/>
  <c r="I297" i="2"/>
  <c r="J297" i="2" s="1"/>
  <c r="K297" i="2" s="1"/>
  <c r="H298" i="2" s="1"/>
  <c r="L297" i="2" l="1"/>
  <c r="I298" i="2"/>
  <c r="J298" i="2" s="1"/>
  <c r="K298" i="2" l="1"/>
  <c r="L298" i="2"/>
  <c r="H299" i="2" l="1"/>
  <c r="I299" i="2"/>
  <c r="J299" i="2" l="1"/>
  <c r="L299" i="2" s="1"/>
  <c r="K299" i="2" l="1"/>
  <c r="I300" i="2" s="1"/>
  <c r="H300" i="2" l="1"/>
  <c r="J300" i="2" s="1"/>
  <c r="K300" i="2" s="1"/>
  <c r="L300" i="2" l="1"/>
  <c r="I301" i="2"/>
  <c r="H301" i="2"/>
  <c r="J301" i="2" l="1"/>
  <c r="K301" i="2" s="1"/>
  <c r="L301" i="2" l="1"/>
  <c r="I302" i="2"/>
  <c r="H302" i="2"/>
  <c r="J302" i="2" l="1"/>
  <c r="K302" i="2" l="1"/>
  <c r="L302" i="2"/>
  <c r="I303" i="2" l="1"/>
  <c r="H303" i="2"/>
  <c r="J303" i="2" l="1"/>
  <c r="L303" i="2" l="1"/>
  <c r="K303" i="2"/>
  <c r="I304" i="2" l="1"/>
  <c r="H304" i="2"/>
  <c r="J304" i="2" l="1"/>
  <c r="L304" i="2" l="1"/>
  <c r="K304" i="2"/>
  <c r="H305" i="2" l="1"/>
  <c r="I305" i="2"/>
  <c r="J305" i="2" l="1"/>
  <c r="K305" i="2" l="1"/>
  <c r="L305" i="2"/>
  <c r="I306" i="2" l="1"/>
  <c r="H306" i="2"/>
  <c r="J306" i="2" l="1"/>
  <c r="L306" i="2" l="1"/>
  <c r="K306" i="2"/>
  <c r="H307" i="2" l="1"/>
  <c r="I307" i="2"/>
  <c r="J307" i="2" l="1"/>
  <c r="K307" i="2" l="1"/>
  <c r="L307" i="2"/>
  <c r="I308" i="2" l="1"/>
  <c r="H308" i="2"/>
  <c r="J308" i="2" s="1"/>
  <c r="L308" i="2" s="1"/>
  <c r="K308" i="2" l="1"/>
  <c r="I309" i="2" l="1"/>
  <c r="H309" i="2"/>
  <c r="J309" i="2" s="1"/>
  <c r="L309" i="2" s="1"/>
  <c r="K309" i="2" l="1"/>
  <c r="H310" i="2" l="1"/>
  <c r="J310" i="2" s="1"/>
  <c r="L310" i="2" s="1"/>
  <c r="I310" i="2"/>
  <c r="K310" i="2" l="1"/>
  <c r="I311" i="2" l="1"/>
  <c r="H311" i="2"/>
  <c r="J311" i="2" s="1"/>
  <c r="L311" i="2" s="1"/>
  <c r="K311" i="2" l="1"/>
  <c r="I312" i="2" l="1"/>
  <c r="H312" i="2"/>
  <c r="J312" i="2" s="1"/>
  <c r="L312" i="2" s="1"/>
  <c r="K312" i="2" l="1"/>
  <c r="I313" i="2" l="1"/>
  <c r="H313" i="2"/>
  <c r="J313" i="2" s="1"/>
  <c r="L313" i="2" s="1"/>
  <c r="K313" i="2" l="1"/>
  <c r="H314" i="2" l="1"/>
  <c r="I314" i="2"/>
  <c r="B26" i="2" s="1"/>
  <c r="J314" i="2" l="1"/>
  <c r="B25" i="2"/>
  <c r="L314" i="2" l="1"/>
  <c r="K3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Xan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Introduce la cuantía a la que ascienda el préstamo. Lo puedes hacer a través del deslizador o tecleando la cuantía.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Teclea el tipo de interés al que se efectuará el cálculo del préstamo.</t>
        </r>
      </text>
    </comment>
    <comment ref="A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 partir del tipo de interés calculamos el tipo de interés efectivo para cada período: (1+i)^(1/m)-1. Donde m son los períodos en los que se subdividen los pagos. Por ejemplo si los pagos son semestrales tendremos 2 pagos a lo largo del año, por lo tanto m=2. Si los pagos son trimestrales, habrá 4 pagos a lo largo del año, entonces m sería 4.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Mueva el deslizador para seleccionar el número de años. Si quiere calcular el importe del préstamo para 10 meses, tendrá que dividir 10/12, en la casilla al lado del deslizador, y cambiar la frecuencia de pago a mensual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Frecuencia con la que pagaremos la cuota</t>
        </r>
      </text>
    </comment>
    <comment ref="A1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Número de pagos que haremos
</t>
        </r>
      </text>
    </comment>
  </commentList>
</comments>
</file>

<file path=xl/sharedStrings.xml><?xml version="1.0" encoding="utf-8"?>
<sst xmlns="http://schemas.openxmlformats.org/spreadsheetml/2006/main" count="526" uniqueCount="39">
  <si>
    <t>Cuantía</t>
  </si>
  <si>
    <t>Tipo de interés efectivo</t>
  </si>
  <si>
    <t>Período</t>
  </si>
  <si>
    <t>Intereses</t>
  </si>
  <si>
    <t>Cuota amortización</t>
  </si>
  <si>
    <t>Capital vivo</t>
  </si>
  <si>
    <t>Capital amortizado</t>
  </si>
  <si>
    <t>Frecuencia de pago</t>
  </si>
  <si>
    <t>Duración (en años)</t>
  </si>
  <si>
    <t>Número de pagos</t>
  </si>
  <si>
    <t>Suma de las cuotas</t>
  </si>
  <si>
    <t>Suma de los intereses</t>
  </si>
  <si>
    <t>Cuota Mensual</t>
  </si>
  <si>
    <t xml:space="preserve">Tipo de interés </t>
  </si>
  <si>
    <t>RESUMEN</t>
  </si>
  <si>
    <t>Mensual</t>
  </si>
  <si>
    <t>Tipo de interés 2 año</t>
  </si>
  <si>
    <t>Tipo de interés efectivo 2 año</t>
  </si>
  <si>
    <t>Tipo de interés efectivo 7 año</t>
  </si>
  <si>
    <t>Tipo de interés 7 año</t>
  </si>
  <si>
    <t>Cuota a pagar año 2</t>
  </si>
  <si>
    <t>Cuota a pagar</t>
  </si>
  <si>
    <t>Cuota a pagar año 7</t>
  </si>
  <si>
    <t>Año</t>
  </si>
  <si>
    <t>Amortizacion Cuota</t>
  </si>
  <si>
    <t>Gastos</t>
  </si>
  <si>
    <t>Mes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</si>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</sst>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0\ &quot;€&quot;;[Red]\-#,##0.0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u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22">
    <xf numFmtId="0" fontId="0" fillId="0" borderId="0" xfId="0"/>
    <xf numFmtId="0" fontId="0" fillId="6" borderId="0" xfId="0" applyFill="1" applyBorder="1"/>
    <xf numFmtId="0" fontId="2" fillId="7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4" fontId="0" fillId="5" borderId="0" xfId="0" applyNumberFormat="1" applyFont="1" applyFill="1" applyBorder="1" applyProtection="1">
      <protection locked="0"/>
    </xf>
    <xf numFmtId="0" fontId="0" fillId="6" borderId="0" xfId="0" applyFill="1" applyBorder="1" applyProtection="1">
      <protection locked="0"/>
    </xf>
    <xf numFmtId="0" fontId="0" fillId="5" borderId="0" xfId="0" applyFont="1" applyFill="1" applyBorder="1" applyProtection="1">
      <protection locked="0"/>
    </xf>
    <xf numFmtId="2" fontId="0" fillId="5" borderId="0" xfId="0" applyNumberFormat="1" applyFont="1" applyFill="1" applyBorder="1" applyProtection="1">
      <protection locked="0"/>
    </xf>
    <xf numFmtId="2" fontId="0" fillId="6" borderId="0" xfId="0" applyNumberFormat="1" applyFill="1" applyBorder="1"/>
    <xf numFmtId="0" fontId="0" fillId="5" borderId="0" xfId="0" applyFont="1" applyFill="1" applyBorder="1" applyAlignment="1" applyProtection="1">
      <alignment horizontal="center"/>
      <protection locked="0"/>
    </xf>
    <xf numFmtId="44" fontId="0" fillId="6" borderId="1" xfId="2" applyFont="1" applyFill="1" applyBorder="1"/>
    <xf numFmtId="0" fontId="8" fillId="9" borderId="1" xfId="0" applyFont="1" applyFill="1" applyBorder="1"/>
    <xf numFmtId="8" fontId="0" fillId="10" borderId="1" xfId="0" applyNumberFormat="1" applyFill="1" applyBorder="1"/>
    <xf numFmtId="44" fontId="0" fillId="6" borderId="1" xfId="2" applyFont="1" applyFill="1" applyBorder="1" applyProtection="1">
      <protection locked="0"/>
    </xf>
    <xf numFmtId="10" fontId="0" fillId="5" borderId="0" xfId="0" applyNumberFormat="1" applyFont="1" applyFill="1" applyBorder="1" applyAlignment="1" applyProtection="1">
      <alignment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44" fontId="0" fillId="6" borderId="1" xfId="2" applyNumberFormat="1" applyFont="1" applyFill="1" applyBorder="1"/>
    <xf numFmtId="164" fontId="0" fillId="10" borderId="1" xfId="0" applyNumberFormat="1" applyFill="1" applyBorder="1"/>
    <xf numFmtId="0" fontId="6" fillId="8" borderId="0" xfId="1" applyFont="1" applyFill="1" applyBorder="1" applyAlignment="1" applyProtection="1">
      <alignment horizontal="center" vertical="center"/>
    </xf>
    <xf numFmtId="0" fontId="6" fillId="8" borderId="2" xfId="1" applyFont="1" applyFill="1" applyBorder="1" applyAlignment="1" applyProtection="1">
      <alignment horizontal="center" vertical="center"/>
    </xf>
    <xf numFmtId="0" fontId="0" fillId="4" borderId="1" xfId="0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</xdr:row>
          <xdr:rowOff>0</xdr:rowOff>
        </xdr:from>
        <xdr:to>
          <xdr:col>2</xdr:col>
          <xdr:colOff>0</xdr:colOff>
          <xdr:row>3</xdr:row>
          <xdr:rowOff>22860</xdr:rowOff>
        </xdr:to>
        <xdr:sp macro="" textlink="">
          <xdr:nvSpPr>
            <xdr:cNvPr id="2049" name="ScrollBar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2</xdr:col>
          <xdr:colOff>0</xdr:colOff>
          <xdr:row>13</xdr:row>
          <xdr:rowOff>7620</xdr:rowOff>
        </xdr:to>
        <xdr:sp macro="" textlink="">
          <xdr:nvSpPr>
            <xdr:cNvPr id="2050" name="ScrollBar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500"/>
  <sheetViews>
    <sheetView showGridLines="0" tabSelected="1" workbookViewId="0">
      <pane ySplit="1" topLeftCell="A11" activePane="bottomLeft" state="frozen"/>
      <selection pane="bottomLeft" activeCell="B20" sqref="B20"/>
    </sheetView>
  </sheetViews>
  <sheetFormatPr baseColWidth="10" defaultColWidth="11.44140625" defaultRowHeight="14.4" x14ac:dyDescent="0.3"/>
  <cols>
    <col min="1" max="1" width="30" style="1" bestFit="1" customWidth="1"/>
    <col min="2" max="2" width="16.109375" style="1" bestFit="1" customWidth="1"/>
    <col min="3" max="3" width="11.88671875" style="1" bestFit="1" customWidth="1"/>
    <col min="4" max="4" width="5" style="1" customWidth="1"/>
    <col min="5" max="6" width="12.88671875" style="16" customWidth="1"/>
    <col min="7" max="7" width="7" style="16" customWidth="1"/>
    <col min="8" max="9" width="16.6640625" style="1" bestFit="1" customWidth="1"/>
    <col min="10" max="10" width="18.33203125" style="1" bestFit="1" customWidth="1"/>
    <col min="11" max="11" width="12.6640625" style="1" bestFit="1" customWidth="1"/>
    <col min="12" max="12" width="17.6640625" style="1" bestFit="1" customWidth="1"/>
    <col min="13" max="14" width="22.6640625" style="1" customWidth="1"/>
    <col min="15" max="16384" width="11.44140625" style="1"/>
  </cols>
  <sheetData>
    <row r="1" spans="1:14" ht="26.25" customHeight="1" x14ac:dyDescent="0.3">
      <c r="A1" s="19"/>
      <c r="B1" s="19"/>
      <c r="C1" s="19"/>
      <c r="D1" s="20"/>
      <c r="E1" s="3" t="s">
        <v>23</v>
      </c>
      <c r="F1" s="3" t="s">
        <v>26</v>
      </c>
      <c r="G1" s="3" t="s">
        <v>2</v>
      </c>
      <c r="H1" s="3" t="s">
        <v>12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24</v>
      </c>
      <c r="N1" s="3" t="s">
        <v>25</v>
      </c>
    </row>
    <row r="2" spans="1:14" x14ac:dyDescent="0.3">
      <c r="A2" s="2" t="s">
        <v>0</v>
      </c>
      <c r="E2" s="15">
        <v>0</v>
      </c>
      <c r="F2" s="15" t="s">
        <v>27</v>
      </c>
      <c r="G2" s="15">
        <v>0</v>
      </c>
      <c r="H2" s="10"/>
      <c r="I2" s="10"/>
      <c r="J2" s="10"/>
      <c r="K2" s="10">
        <f>A3</f>
        <v>51000</v>
      </c>
      <c r="L2" s="10"/>
      <c r="M2" s="13"/>
      <c r="N2" s="13"/>
    </row>
    <row r="3" spans="1:14" x14ac:dyDescent="0.3">
      <c r="A3" s="4">
        <v>51000</v>
      </c>
      <c r="B3" s="5"/>
      <c r="E3" s="15">
        <f>IF(G2&gt;=$B$18,"",INT(G2/12)+1)</f>
        <v>1</v>
      </c>
      <c r="F3" s="15" t="s">
        <v>28</v>
      </c>
      <c r="G3" s="15">
        <f t="shared" ref="G3:G66" si="0">IF(G2&gt;=$B$18,"",G2+1)</f>
        <v>1</v>
      </c>
      <c r="H3" s="17">
        <f>IF(G3&lt;=$B$18,PMT($B$9,$B$18-G2,-K2)+M3,"")</f>
        <v>196.70396650168584</v>
      </c>
      <c r="I3" s="10">
        <f t="shared" ref="I3:I14" si="1">IF(G3&lt;=$B$18,K2*$B$9,"")</f>
        <v>50.721631858281711</v>
      </c>
      <c r="J3" s="10">
        <f t="shared" ref="J3:J66" si="2">IF(G3&lt;=$B$18,H3-I3,"")</f>
        <v>145.98233464340413</v>
      </c>
      <c r="K3" s="10">
        <f t="shared" ref="K3:K66" si="3">IF(G3&lt;=$B$18,K2-J3,"")</f>
        <v>50854.017665356594</v>
      </c>
      <c r="L3" s="10">
        <f t="shared" ref="L3:L66" si="4">IF(G3&lt;=$B$18,L2+J3,"")</f>
        <v>145.98233464340413</v>
      </c>
      <c r="M3" s="13"/>
      <c r="N3" s="13"/>
    </row>
    <row r="4" spans="1:14" x14ac:dyDescent="0.3">
      <c r="E4" s="15">
        <f t="shared" ref="E4:E67" si="5">IF(G3&gt;=$B$18,"",INT(G3/12)+1)</f>
        <v>1</v>
      </c>
      <c r="F4" s="15" t="s">
        <v>29</v>
      </c>
      <c r="G4" s="15">
        <f t="shared" si="0"/>
        <v>2</v>
      </c>
      <c r="H4" s="10">
        <f t="shared" ref="H4:H14" si="6">IF(G4&lt;=$B$18,PMT($B$9,$B$18-G3,-K3)+M4,"")</f>
        <v>196.70396650168578</v>
      </c>
      <c r="I4" s="10">
        <f t="shared" si="1"/>
        <v>50.576446324250433</v>
      </c>
      <c r="J4" s="10">
        <f t="shared" si="2"/>
        <v>146.12752017743534</v>
      </c>
      <c r="K4" s="10">
        <f t="shared" si="3"/>
        <v>50707.890145179161</v>
      </c>
      <c r="L4" s="10">
        <f t="shared" si="4"/>
        <v>292.10985482083947</v>
      </c>
      <c r="M4" s="13"/>
      <c r="N4" s="13"/>
    </row>
    <row r="5" spans="1:14" x14ac:dyDescent="0.3">
      <c r="A5" s="2" t="s">
        <v>13</v>
      </c>
      <c r="B5" s="14">
        <v>1.2E-2</v>
      </c>
      <c r="E5" s="15">
        <f t="shared" si="5"/>
        <v>1</v>
      </c>
      <c r="F5" s="15" t="s">
        <v>30</v>
      </c>
      <c r="G5" s="15">
        <f t="shared" si="0"/>
        <v>3</v>
      </c>
      <c r="H5" s="10">
        <f t="shared" si="6"/>
        <v>196.70396650168581</v>
      </c>
      <c r="I5" s="10">
        <f t="shared" si="1"/>
        <v>50.431116397136641</v>
      </c>
      <c r="J5" s="10">
        <f t="shared" si="2"/>
        <v>146.27285010454918</v>
      </c>
      <c r="K5" s="10">
        <f t="shared" si="3"/>
        <v>50561.617295074611</v>
      </c>
      <c r="L5" s="10">
        <f t="shared" si="4"/>
        <v>438.38270492538868</v>
      </c>
      <c r="M5" s="13"/>
      <c r="N5" s="13"/>
    </row>
    <row r="6" spans="1:14" x14ac:dyDescent="0.3">
      <c r="A6" s="2" t="s">
        <v>16</v>
      </c>
      <c r="B6" s="14">
        <v>1.4E-2</v>
      </c>
      <c r="E6" s="15">
        <f t="shared" si="5"/>
        <v>1</v>
      </c>
      <c r="F6" s="15" t="s">
        <v>31</v>
      </c>
      <c r="G6" s="15">
        <f t="shared" si="0"/>
        <v>4</v>
      </c>
      <c r="H6" s="10">
        <f t="shared" si="6"/>
        <v>196.70396650168578</v>
      </c>
      <c r="I6" s="10">
        <f t="shared" si="1"/>
        <v>50.28564193333537</v>
      </c>
      <c r="J6" s="10">
        <f t="shared" si="2"/>
        <v>146.41832456835041</v>
      </c>
      <c r="K6" s="10">
        <f t="shared" si="3"/>
        <v>50415.198970506259</v>
      </c>
      <c r="L6" s="10">
        <f t="shared" si="4"/>
        <v>584.80102949373907</v>
      </c>
      <c r="M6" s="13"/>
      <c r="N6" s="13"/>
    </row>
    <row r="7" spans="1:14" x14ac:dyDescent="0.3">
      <c r="A7" s="2" t="s">
        <v>19</v>
      </c>
      <c r="B7" s="14">
        <v>1.4E-2</v>
      </c>
      <c r="E7" s="15">
        <f t="shared" si="5"/>
        <v>1</v>
      </c>
      <c r="F7" s="15" t="s">
        <v>32</v>
      </c>
      <c r="G7" s="15">
        <f t="shared" si="0"/>
        <v>5</v>
      </c>
      <c r="H7" s="10">
        <f t="shared" si="6"/>
        <v>196.70396650168576</v>
      </c>
      <c r="I7" s="10">
        <f t="shared" si="1"/>
        <v>50.140022789098857</v>
      </c>
      <c r="J7" s="10">
        <f t="shared" si="2"/>
        <v>146.56394371258691</v>
      </c>
      <c r="K7" s="10">
        <f t="shared" si="3"/>
        <v>50268.635026793672</v>
      </c>
      <c r="L7" s="10">
        <f t="shared" si="4"/>
        <v>731.364973206326</v>
      </c>
      <c r="M7" s="13"/>
      <c r="N7" s="13"/>
    </row>
    <row r="8" spans="1:14" x14ac:dyDescent="0.3">
      <c r="C8" s="8"/>
      <c r="E8" s="15">
        <f t="shared" si="5"/>
        <v>1</v>
      </c>
      <c r="F8" s="15" t="s">
        <v>33</v>
      </c>
      <c r="G8" s="15">
        <f t="shared" si="0"/>
        <v>6</v>
      </c>
      <c r="H8" s="10">
        <f t="shared" si="6"/>
        <v>196.70396650168578</v>
      </c>
      <c r="I8" s="10">
        <f t="shared" si="1"/>
        <v>49.994258820536352</v>
      </c>
      <c r="J8" s="10">
        <f t="shared" si="2"/>
        <v>146.70970768114944</v>
      </c>
      <c r="K8" s="10">
        <f t="shared" si="3"/>
        <v>50121.925319112524</v>
      </c>
      <c r="L8" s="10">
        <f t="shared" si="4"/>
        <v>878.07468088747544</v>
      </c>
      <c r="M8" s="13"/>
      <c r="N8" s="13"/>
    </row>
    <row r="9" spans="1:14" x14ac:dyDescent="0.3">
      <c r="A9" s="2" t="s">
        <v>1</v>
      </c>
      <c r="B9" s="6">
        <f>IF(B16="Mensual",((1+B5)^(1/12))-1,IF(B16="Bimensual",((1+B5)^(1/6))-1,IF(B16="Trimestral",((1+B5)^(1/4))-1,IF(B16="Cuatrimestral",((1+B5)^(1/3))-1,IF(B16="Semestral",((1+B5)^(1/2))-1,IF(B16="Anual",B5))))))</f>
        <v>9.9454180114277868E-4</v>
      </c>
      <c r="E9" s="15">
        <f t="shared" si="5"/>
        <v>1</v>
      </c>
      <c r="F9" s="15" t="s">
        <v>34</v>
      </c>
      <c r="G9" s="15">
        <f t="shared" si="0"/>
        <v>7</v>
      </c>
      <c r="H9" s="10">
        <f t="shared" si="6"/>
        <v>196.70396650168581</v>
      </c>
      <c r="I9" s="10">
        <f t="shared" si="1"/>
        <v>49.848349883614013</v>
      </c>
      <c r="J9" s="10">
        <f t="shared" si="2"/>
        <v>146.85561661807179</v>
      </c>
      <c r="K9" s="10">
        <f t="shared" si="3"/>
        <v>49975.069702494453</v>
      </c>
      <c r="L9" s="10">
        <f t="shared" si="4"/>
        <v>1024.9302975055473</v>
      </c>
      <c r="M9" s="13"/>
      <c r="N9" s="13"/>
    </row>
    <row r="10" spans="1:14" x14ac:dyDescent="0.3">
      <c r="A10" s="2" t="s">
        <v>17</v>
      </c>
      <c r="B10" s="6">
        <f>IF(B16="Mensual",((1+B6)^(1/12))-1,IF(B16="Bimensual",((1+B6)^(1/6))-1,IF(B16="Trimestral",((1+B6)^(1/4))-1,IF(B16="Cuatrimestral",((1+B6)^(1/3))-1,IF(B16="Semestral",((1+B6)^(1/2))-1,IF(B16="Anual",B6))))))</f>
        <v>1.1592468385308585E-3</v>
      </c>
      <c r="E10" s="15">
        <f t="shared" si="5"/>
        <v>1</v>
      </c>
      <c r="F10" s="15" t="s">
        <v>35</v>
      </c>
      <c r="G10" s="15">
        <f t="shared" si="0"/>
        <v>8</v>
      </c>
      <c r="H10" s="10">
        <f t="shared" si="6"/>
        <v>196.70396650168581</v>
      </c>
      <c r="I10" s="10">
        <f t="shared" si="1"/>
        <v>49.702295834154739</v>
      </c>
      <c r="J10" s="10">
        <f t="shared" si="2"/>
        <v>147.00167066753107</v>
      </c>
      <c r="K10" s="10">
        <f t="shared" si="3"/>
        <v>49828.068031826922</v>
      </c>
      <c r="L10" s="10">
        <f t="shared" si="4"/>
        <v>1171.9319681730783</v>
      </c>
      <c r="M10" s="13"/>
      <c r="N10" s="13"/>
    </row>
    <row r="11" spans="1:14" x14ac:dyDescent="0.3">
      <c r="A11" s="2" t="s">
        <v>18</v>
      </c>
      <c r="B11" s="6">
        <f>IF(B16="Mensual",((1+B7)^(1/12))-1,IF(B16="Bimensual",((1+B7)^(1/6))-1,IF(B16="Trimestral",((1+B7)^(1/4))-1,IF(B16="Cuatrimestral",((1+B7)^(1/3))-1,IF(B16="Semestral",((1+B7)^(1/2))-1,IF(B16="Anual",B7))))))</f>
        <v>1.1592468385308585E-3</v>
      </c>
      <c r="E11" s="15">
        <f t="shared" si="5"/>
        <v>1</v>
      </c>
      <c r="F11" s="15" t="s">
        <v>36</v>
      </c>
      <c r="G11" s="15">
        <f t="shared" si="0"/>
        <v>9</v>
      </c>
      <c r="H11" s="10">
        <f t="shared" si="6"/>
        <v>196.70396650168581</v>
      </c>
      <c r="I11" s="10">
        <f t="shared" si="1"/>
        <v>49.556096527838058</v>
      </c>
      <c r="J11" s="10">
        <f t="shared" si="2"/>
        <v>147.14786997384775</v>
      </c>
      <c r="K11" s="10">
        <f t="shared" si="3"/>
        <v>49680.920161853071</v>
      </c>
      <c r="L11" s="10">
        <f t="shared" si="4"/>
        <v>1319.079838146926</v>
      </c>
      <c r="M11" s="13"/>
      <c r="N11" s="13"/>
    </row>
    <row r="12" spans="1:14" x14ac:dyDescent="0.3">
      <c r="C12" s="7">
        <v>25</v>
      </c>
      <c r="E12" s="15">
        <f t="shared" si="5"/>
        <v>1</v>
      </c>
      <c r="F12" s="15" t="s">
        <v>37</v>
      </c>
      <c r="G12" s="15">
        <f t="shared" si="0"/>
        <v>10</v>
      </c>
      <c r="H12" s="10">
        <f t="shared" si="6"/>
        <v>196.70396650168578</v>
      </c>
      <c r="I12" s="10">
        <f t="shared" si="1"/>
        <v>49.409751820199943</v>
      </c>
      <c r="J12" s="10">
        <f t="shared" si="2"/>
        <v>147.29421468148584</v>
      </c>
      <c r="K12" s="10">
        <f t="shared" si="3"/>
        <v>49533.625947171582</v>
      </c>
      <c r="L12" s="10">
        <f t="shared" si="4"/>
        <v>1466.3740528284118</v>
      </c>
      <c r="M12" s="13"/>
      <c r="N12" s="13"/>
    </row>
    <row r="13" spans="1:14" x14ac:dyDescent="0.3">
      <c r="A13" s="2" t="s">
        <v>8</v>
      </c>
      <c r="E13" s="15">
        <f t="shared" si="5"/>
        <v>1</v>
      </c>
      <c r="F13" s="15" t="s">
        <v>38</v>
      </c>
      <c r="G13" s="15">
        <f t="shared" si="0"/>
        <v>11</v>
      </c>
      <c r="H13" s="10">
        <f t="shared" si="6"/>
        <v>196.70396650168576</v>
      </c>
      <c r="I13" s="10">
        <f t="shared" si="1"/>
        <v>49.2632615666327</v>
      </c>
      <c r="J13" s="10">
        <f t="shared" si="2"/>
        <v>147.44070493505305</v>
      </c>
      <c r="K13" s="10">
        <f t="shared" si="3"/>
        <v>49386.185242236526</v>
      </c>
      <c r="L13" s="10">
        <f t="shared" si="4"/>
        <v>1613.8147577634647</v>
      </c>
      <c r="M13" s="13"/>
      <c r="N13" s="13"/>
    </row>
    <row r="14" spans="1:14" ht="15" customHeight="1" x14ac:dyDescent="0.3">
      <c r="C14" s="9"/>
      <c r="E14" s="15">
        <f t="shared" si="5"/>
        <v>1</v>
      </c>
      <c r="F14" s="15" t="s">
        <v>27</v>
      </c>
      <c r="G14" s="15">
        <f t="shared" si="0"/>
        <v>12</v>
      </c>
      <c r="H14" s="10">
        <f t="shared" si="6"/>
        <v>196.70396650168578</v>
      </c>
      <c r="I14" s="10">
        <f t="shared" si="1"/>
        <v>49.116625622384831</v>
      </c>
      <c r="J14" s="10">
        <f t="shared" si="2"/>
        <v>147.58734087930094</v>
      </c>
      <c r="K14" s="10">
        <f t="shared" si="3"/>
        <v>49238.597901357229</v>
      </c>
      <c r="L14" s="10">
        <f t="shared" si="4"/>
        <v>1761.4020986427656</v>
      </c>
      <c r="M14" s="13"/>
      <c r="N14" s="13"/>
    </row>
    <row r="15" spans="1:14" x14ac:dyDescent="0.3">
      <c r="E15" s="15">
        <f t="shared" si="5"/>
        <v>2</v>
      </c>
      <c r="F15" s="15" t="s">
        <v>28</v>
      </c>
      <c r="G15" s="15">
        <f t="shared" si="0"/>
        <v>13</v>
      </c>
      <c r="H15" s="10">
        <f>IF(G15&lt;=$B$18,PMT($B$10,$B$18-G14,-K14)+M15,"")</f>
        <v>201.19048554071017</v>
      </c>
      <c r="I15" s="10">
        <f t="shared" ref="I15:I74" si="7">IF(G15&lt;=$B$18,K14*$B$10,"")</f>
        <v>57.079688950840534</v>
      </c>
      <c r="J15" s="10">
        <f t="shared" si="2"/>
        <v>144.11079658986964</v>
      </c>
      <c r="K15" s="10">
        <f t="shared" si="3"/>
        <v>49094.487104767359</v>
      </c>
      <c r="L15" s="10">
        <f t="shared" si="4"/>
        <v>1905.5128952326352</v>
      </c>
      <c r="M15" s="13"/>
      <c r="N15" s="13"/>
    </row>
    <row r="16" spans="1:14" x14ac:dyDescent="0.3">
      <c r="A16" s="2" t="s">
        <v>7</v>
      </c>
      <c r="B16" s="9" t="s">
        <v>15</v>
      </c>
      <c r="C16" s="9"/>
      <c r="E16" s="15">
        <f t="shared" si="5"/>
        <v>2</v>
      </c>
      <c r="F16" s="15" t="s">
        <v>29</v>
      </c>
      <c r="G16" s="15">
        <f t="shared" si="0"/>
        <v>14</v>
      </c>
      <c r="H16" s="10">
        <f t="shared" ref="H16:H74" si="8">IF(G16&lt;=$B$18,PMT($B$10,$B$18-G15,-K15)+M16,"")</f>
        <v>201.19048554071023</v>
      </c>
      <c r="I16" s="10">
        <f t="shared" si="7"/>
        <v>56.912628965495564</v>
      </c>
      <c r="J16" s="10">
        <f t="shared" si="2"/>
        <v>144.27785657521466</v>
      </c>
      <c r="K16" s="10">
        <f t="shared" si="3"/>
        <v>48950.209248192143</v>
      </c>
      <c r="L16" s="10">
        <f t="shared" si="4"/>
        <v>2049.79075180785</v>
      </c>
      <c r="M16" s="13"/>
      <c r="N16" s="13"/>
    </row>
    <row r="17" spans="1:14" x14ac:dyDescent="0.3">
      <c r="C17"/>
      <c r="E17" s="15">
        <f t="shared" si="5"/>
        <v>2</v>
      </c>
      <c r="F17" s="15" t="s">
        <v>30</v>
      </c>
      <c r="G17" s="15">
        <f t="shared" si="0"/>
        <v>15</v>
      </c>
      <c r="H17" s="10">
        <f t="shared" si="8"/>
        <v>201.1904855407102</v>
      </c>
      <c r="I17" s="10">
        <f t="shared" si="7"/>
        <v>56.745375316390735</v>
      </c>
      <c r="J17" s="10">
        <f t="shared" si="2"/>
        <v>144.44511022431948</v>
      </c>
      <c r="K17" s="10">
        <f t="shared" si="3"/>
        <v>48805.764137967824</v>
      </c>
      <c r="L17" s="10">
        <f t="shared" si="4"/>
        <v>2194.2358620321693</v>
      </c>
      <c r="M17" s="13"/>
      <c r="N17" s="13"/>
    </row>
    <row r="18" spans="1:14" x14ac:dyDescent="0.3">
      <c r="A18" s="2" t="s">
        <v>9</v>
      </c>
      <c r="B18" s="9">
        <f>IF(B16="Anual",C12*1,IF(B16="Semestral",C12*2,IF(B16="Cuatrimestral",C12*3,IF(B16="trimestral",C12*4,IF(B16="Bimensual",C12*6,IF(B16="Mensual",C12*12))))))</f>
        <v>300</v>
      </c>
      <c r="C18"/>
      <c r="E18" s="15">
        <f t="shared" si="5"/>
        <v>2</v>
      </c>
      <c r="F18" s="15" t="s">
        <v>31</v>
      </c>
      <c r="G18" s="15">
        <f t="shared" si="0"/>
        <v>16</v>
      </c>
      <c r="H18" s="10">
        <f t="shared" si="8"/>
        <v>201.19048554071023</v>
      </c>
      <c r="I18" s="10">
        <f t="shared" si="7"/>
        <v>56.577927779021955</v>
      </c>
      <c r="J18" s="10">
        <f t="shared" si="2"/>
        <v>144.61255776168827</v>
      </c>
      <c r="K18" s="10">
        <f t="shared" si="3"/>
        <v>48661.151580206133</v>
      </c>
      <c r="L18" s="10">
        <f t="shared" si="4"/>
        <v>2338.8484197938574</v>
      </c>
      <c r="M18" s="13"/>
      <c r="N18" s="13"/>
    </row>
    <row r="19" spans="1:14" x14ac:dyDescent="0.3">
      <c r="A19"/>
      <c r="B19"/>
      <c r="E19" s="15">
        <f t="shared" si="5"/>
        <v>2</v>
      </c>
      <c r="F19" s="15" t="s">
        <v>32</v>
      </c>
      <c r="G19" s="15">
        <f t="shared" si="0"/>
        <v>17</v>
      </c>
      <c r="H19" s="10">
        <f t="shared" si="8"/>
        <v>201.1904855407102</v>
      </c>
      <c r="I19" s="10">
        <f t="shared" si="7"/>
        <v>56.410286128624847</v>
      </c>
      <c r="J19" s="10">
        <f t="shared" si="2"/>
        <v>144.78019941208535</v>
      </c>
      <c r="K19" s="10">
        <f t="shared" si="3"/>
        <v>48516.371380794051</v>
      </c>
      <c r="L19" s="10">
        <f t="shared" si="4"/>
        <v>2483.6286192059429</v>
      </c>
      <c r="M19" s="13"/>
      <c r="N19" s="13"/>
    </row>
    <row r="20" spans="1:14" x14ac:dyDescent="0.3">
      <c r="A20"/>
      <c r="B20"/>
      <c r="E20" s="15">
        <f t="shared" si="5"/>
        <v>2</v>
      </c>
      <c r="F20" s="15" t="s">
        <v>33</v>
      </c>
      <c r="G20" s="15">
        <f t="shared" si="0"/>
        <v>18</v>
      </c>
      <c r="H20" s="10">
        <f t="shared" si="8"/>
        <v>201.19048554071023</v>
      </c>
      <c r="I20" s="10">
        <f t="shared" si="7"/>
        <v>56.242450140174526</v>
      </c>
      <c r="J20" s="10">
        <f t="shared" si="2"/>
        <v>144.9480354005357</v>
      </c>
      <c r="K20" s="10">
        <f t="shared" si="3"/>
        <v>48371.423345393516</v>
      </c>
      <c r="L20" s="10">
        <f t="shared" si="4"/>
        <v>2628.5766546064788</v>
      </c>
      <c r="M20" s="13"/>
      <c r="N20" s="13"/>
    </row>
    <row r="21" spans="1:14" ht="15" customHeight="1" x14ac:dyDescent="0.3">
      <c r="A21" s="21" t="s">
        <v>14</v>
      </c>
      <c r="B21" s="21"/>
      <c r="E21" s="15">
        <f t="shared" si="5"/>
        <v>2</v>
      </c>
      <c r="F21" s="15" t="s">
        <v>34</v>
      </c>
      <c r="G21" s="15">
        <f t="shared" si="0"/>
        <v>19</v>
      </c>
      <c r="H21" s="10">
        <f t="shared" si="8"/>
        <v>201.19048554071023</v>
      </c>
      <c r="I21" s="10">
        <f t="shared" si="7"/>
        <v>56.074419588385197</v>
      </c>
      <c r="J21" s="10">
        <f t="shared" si="2"/>
        <v>145.11606595232502</v>
      </c>
      <c r="K21" s="10">
        <f t="shared" si="3"/>
        <v>48226.307279441193</v>
      </c>
      <c r="L21" s="10">
        <f t="shared" si="4"/>
        <v>2773.6927205588036</v>
      </c>
      <c r="M21" s="13"/>
      <c r="N21" s="13"/>
    </row>
    <row r="22" spans="1:14" x14ac:dyDescent="0.3">
      <c r="A22" s="11" t="s">
        <v>21</v>
      </c>
      <c r="B22" s="18">
        <f>PMT($B$9,B18,-$A$3)</f>
        <v>196.70396650168584</v>
      </c>
      <c r="C22"/>
      <c r="E22" s="15">
        <f t="shared" si="5"/>
        <v>2</v>
      </c>
      <c r="F22" s="15" t="s">
        <v>35</v>
      </c>
      <c r="G22" s="15">
        <f t="shared" si="0"/>
        <v>20</v>
      </c>
      <c r="H22" s="10">
        <f t="shared" si="8"/>
        <v>201.1904855407102</v>
      </c>
      <c r="I22" s="10">
        <f t="shared" si="7"/>
        <v>55.906194247709934</v>
      </c>
      <c r="J22" s="10">
        <f t="shared" si="2"/>
        <v>145.28429129300025</v>
      </c>
      <c r="K22" s="10">
        <f t="shared" si="3"/>
        <v>48081.022988148194</v>
      </c>
      <c r="L22" s="10">
        <f t="shared" si="4"/>
        <v>2918.9770118518036</v>
      </c>
      <c r="M22" s="13"/>
      <c r="N22" s="13"/>
    </row>
    <row r="23" spans="1:14" x14ac:dyDescent="0.3">
      <c r="A23" s="11" t="s">
        <v>20</v>
      </c>
      <c r="B23" s="12">
        <f>PMT($B$10,$B$18-G14,-K14)</f>
        <v>201.19048554071017</v>
      </c>
      <c r="E23" s="15">
        <f t="shared" si="5"/>
        <v>2</v>
      </c>
      <c r="F23" s="15" t="s">
        <v>36</v>
      </c>
      <c r="G23" s="15">
        <f t="shared" si="0"/>
        <v>21</v>
      </c>
      <c r="H23" s="10">
        <f t="shared" si="8"/>
        <v>201.1904855407102</v>
      </c>
      <c r="I23" s="10">
        <f t="shared" si="7"/>
        <v>55.737773892340329</v>
      </c>
      <c r="J23" s="10">
        <f t="shared" si="2"/>
        <v>145.45271164836987</v>
      </c>
      <c r="K23" s="10">
        <f t="shared" si="3"/>
        <v>47935.57027649982</v>
      </c>
      <c r="L23" s="10">
        <f t="shared" si="4"/>
        <v>3064.4297235001736</v>
      </c>
      <c r="M23" s="13"/>
      <c r="N23" s="13"/>
    </row>
    <row r="24" spans="1:14" x14ac:dyDescent="0.3">
      <c r="A24" s="11" t="s">
        <v>22</v>
      </c>
      <c r="B24" s="12">
        <f>PMT($B$11,$B$18-G74,-K74)</f>
        <v>201.1904855407102</v>
      </c>
      <c r="E24" s="15">
        <f t="shared" si="5"/>
        <v>2</v>
      </c>
      <c r="F24" s="15" t="s">
        <v>37</v>
      </c>
      <c r="G24" s="15">
        <f t="shared" si="0"/>
        <v>22</v>
      </c>
      <c r="H24" s="10">
        <f t="shared" si="8"/>
        <v>201.1904855407102</v>
      </c>
      <c r="I24" s="10">
        <f t="shared" si="7"/>
        <v>55.569158296206211</v>
      </c>
      <c r="J24" s="10">
        <f t="shared" si="2"/>
        <v>145.62132724450399</v>
      </c>
      <c r="K24" s="10">
        <f t="shared" si="3"/>
        <v>47789.948949255318</v>
      </c>
      <c r="L24" s="10">
        <f t="shared" si="4"/>
        <v>3210.0510507446775</v>
      </c>
      <c r="M24" s="13"/>
      <c r="N24" s="13"/>
    </row>
    <row r="25" spans="1:14" x14ac:dyDescent="0.3">
      <c r="A25" s="11" t="s">
        <v>10</v>
      </c>
      <c r="B25" s="12">
        <f>SUM(H3:H500)</f>
        <v>60303.307433745147</v>
      </c>
      <c r="E25" s="15">
        <f t="shared" si="5"/>
        <v>2</v>
      </c>
      <c r="F25" s="15" t="s">
        <v>38</v>
      </c>
      <c r="G25" s="15">
        <f t="shared" si="0"/>
        <v>23</v>
      </c>
      <c r="H25" s="10">
        <f t="shared" si="8"/>
        <v>201.19048554071023</v>
      </c>
      <c r="I25" s="10">
        <f t="shared" si="7"/>
        <v>55.400347232975349</v>
      </c>
      <c r="J25" s="10">
        <f t="shared" si="2"/>
        <v>145.79013830773488</v>
      </c>
      <c r="K25" s="10">
        <f t="shared" si="3"/>
        <v>47644.158810947585</v>
      </c>
      <c r="L25" s="10">
        <f t="shared" si="4"/>
        <v>3355.8411890524121</v>
      </c>
      <c r="M25" s="13"/>
      <c r="N25" s="13"/>
    </row>
    <row r="26" spans="1:14" x14ac:dyDescent="0.3">
      <c r="A26" s="11" t="s">
        <v>11</v>
      </c>
      <c r="B26" s="12">
        <f>SUM(I3:I500)</f>
        <v>9303.3074337447742</v>
      </c>
      <c r="E26" s="15">
        <f t="shared" si="5"/>
        <v>2</v>
      </c>
      <c r="F26" s="15" t="s">
        <v>27</v>
      </c>
      <c r="G26" s="15">
        <f t="shared" si="0"/>
        <v>24</v>
      </c>
      <c r="H26" s="10">
        <f t="shared" si="8"/>
        <v>201.19048554071023</v>
      </c>
      <c r="I26" s="10">
        <f t="shared" si="7"/>
        <v>55.231340476053134</v>
      </c>
      <c r="J26" s="10">
        <f t="shared" si="2"/>
        <v>145.95914506465709</v>
      </c>
      <c r="K26" s="10">
        <f t="shared" si="3"/>
        <v>47498.19966588293</v>
      </c>
      <c r="L26" s="10">
        <f t="shared" si="4"/>
        <v>3501.8003341170693</v>
      </c>
      <c r="M26" s="13"/>
      <c r="N26" s="13"/>
    </row>
    <row r="27" spans="1:14" x14ac:dyDescent="0.3">
      <c r="E27" s="15">
        <f t="shared" si="5"/>
        <v>3</v>
      </c>
      <c r="F27" s="15" t="s">
        <v>28</v>
      </c>
      <c r="G27" s="15">
        <f t="shared" si="0"/>
        <v>25</v>
      </c>
      <c r="H27" s="10">
        <f t="shared" si="8"/>
        <v>201.19048554071028</v>
      </c>
      <c r="I27" s="10">
        <f t="shared" si="7"/>
        <v>55.06213779858227</v>
      </c>
      <c r="J27" s="10">
        <f t="shared" si="2"/>
        <v>146.12834774212803</v>
      </c>
      <c r="K27" s="10">
        <f t="shared" si="3"/>
        <v>47352.071318140799</v>
      </c>
      <c r="L27" s="10">
        <f t="shared" si="4"/>
        <v>3647.9286818591972</v>
      </c>
      <c r="M27" s="13"/>
      <c r="N27" s="13"/>
    </row>
    <row r="28" spans="1:14" x14ac:dyDescent="0.3">
      <c r="E28" s="15">
        <f t="shared" si="5"/>
        <v>3</v>
      </c>
      <c r="F28" s="15" t="s">
        <v>29</v>
      </c>
      <c r="G28" s="15">
        <f t="shared" si="0"/>
        <v>26</v>
      </c>
      <c r="H28" s="10">
        <f t="shared" si="8"/>
        <v>201.1904855407102</v>
      </c>
      <c r="I28" s="10">
        <f t="shared" si="7"/>
        <v>54.892738973442462</v>
      </c>
      <c r="J28" s="10">
        <f t="shared" si="2"/>
        <v>146.29774656726772</v>
      </c>
      <c r="K28" s="10">
        <f t="shared" si="3"/>
        <v>47205.773571573533</v>
      </c>
      <c r="L28" s="10">
        <f t="shared" si="4"/>
        <v>3794.2264284264647</v>
      </c>
      <c r="M28" s="13"/>
      <c r="N28" s="13"/>
    </row>
    <row r="29" spans="1:14" x14ac:dyDescent="0.3">
      <c r="E29" s="15">
        <f t="shared" si="5"/>
        <v>3</v>
      </c>
      <c r="F29" s="15" t="s">
        <v>30</v>
      </c>
      <c r="G29" s="15">
        <f t="shared" si="0"/>
        <v>27</v>
      </c>
      <c r="H29" s="10">
        <f t="shared" si="8"/>
        <v>201.19048554071023</v>
      </c>
      <c r="I29" s="10">
        <f t="shared" si="7"/>
        <v>54.723143773250172</v>
      </c>
      <c r="J29" s="10">
        <f t="shared" si="2"/>
        <v>146.46734176746006</v>
      </c>
      <c r="K29" s="10">
        <f t="shared" si="3"/>
        <v>47059.306229806076</v>
      </c>
      <c r="L29" s="10">
        <f t="shared" si="4"/>
        <v>3940.6937701939246</v>
      </c>
      <c r="M29" s="13"/>
      <c r="N29" s="13"/>
    </row>
    <row r="30" spans="1:14" x14ac:dyDescent="0.3">
      <c r="E30" s="15">
        <f t="shared" si="5"/>
        <v>3</v>
      </c>
      <c r="F30" s="15" t="s">
        <v>31</v>
      </c>
      <c r="G30" s="15">
        <f t="shared" si="0"/>
        <v>28</v>
      </c>
      <c r="H30" s="10">
        <f t="shared" si="8"/>
        <v>201.19048554071023</v>
      </c>
      <c r="I30" s="10">
        <f t="shared" si="7"/>
        <v>54.553351970358229</v>
      </c>
      <c r="J30" s="10">
        <f t="shared" si="2"/>
        <v>146.63713357035201</v>
      </c>
      <c r="K30" s="10">
        <f t="shared" si="3"/>
        <v>46912.669096235724</v>
      </c>
      <c r="L30" s="10">
        <f t="shared" si="4"/>
        <v>4087.3309037642766</v>
      </c>
      <c r="M30" s="13"/>
      <c r="N30" s="13"/>
    </row>
    <row r="31" spans="1:14" x14ac:dyDescent="0.3">
      <c r="E31" s="15">
        <f t="shared" si="5"/>
        <v>3</v>
      </c>
      <c r="F31" s="15" t="s">
        <v>32</v>
      </c>
      <c r="G31" s="15">
        <f t="shared" si="0"/>
        <v>29</v>
      </c>
      <c r="H31" s="10">
        <f t="shared" si="8"/>
        <v>201.19048554071023</v>
      </c>
      <c r="I31" s="10">
        <f t="shared" si="7"/>
        <v>54.383363336855574</v>
      </c>
      <c r="J31" s="10">
        <f t="shared" si="2"/>
        <v>146.80712220385465</v>
      </c>
      <c r="K31" s="10">
        <f t="shared" si="3"/>
        <v>46765.861974031868</v>
      </c>
      <c r="L31" s="10">
        <f t="shared" si="4"/>
        <v>4234.1380259681309</v>
      </c>
      <c r="M31" s="13"/>
      <c r="N31" s="13"/>
    </row>
    <row r="32" spans="1:14" x14ac:dyDescent="0.3">
      <c r="E32" s="15">
        <f t="shared" si="5"/>
        <v>3</v>
      </c>
      <c r="F32" s="15" t="s">
        <v>33</v>
      </c>
      <c r="G32" s="15">
        <f t="shared" si="0"/>
        <v>30</v>
      </c>
      <c r="H32" s="10">
        <f t="shared" si="8"/>
        <v>201.19048554071028</v>
      </c>
      <c r="I32" s="10">
        <f t="shared" si="7"/>
        <v>54.21317764456694</v>
      </c>
      <c r="J32" s="10">
        <f t="shared" si="2"/>
        <v>146.97730789614334</v>
      </c>
      <c r="K32" s="10">
        <f t="shared" si="3"/>
        <v>46618.884666135724</v>
      </c>
      <c r="L32" s="10">
        <f t="shared" si="4"/>
        <v>4381.1153338642744</v>
      </c>
      <c r="M32" s="13"/>
      <c r="N32" s="13"/>
    </row>
    <row r="33" spans="5:14" x14ac:dyDescent="0.3">
      <c r="E33" s="15">
        <f t="shared" si="5"/>
        <v>3</v>
      </c>
      <c r="F33" s="15" t="s">
        <v>34</v>
      </c>
      <c r="G33" s="15">
        <f t="shared" si="0"/>
        <v>31</v>
      </c>
      <c r="H33" s="10">
        <f t="shared" si="8"/>
        <v>201.19048554071023</v>
      </c>
      <c r="I33" s="10">
        <f t="shared" si="7"/>
        <v>54.042794665052554</v>
      </c>
      <c r="J33" s="10">
        <f t="shared" si="2"/>
        <v>147.14769087565767</v>
      </c>
      <c r="K33" s="10">
        <f t="shared" si="3"/>
        <v>46471.736975260064</v>
      </c>
      <c r="L33" s="10">
        <f t="shared" si="4"/>
        <v>4528.263024739932</v>
      </c>
      <c r="M33" s="13"/>
      <c r="N33" s="13"/>
    </row>
    <row r="34" spans="5:14" x14ac:dyDescent="0.3">
      <c r="E34" s="15">
        <f t="shared" si="5"/>
        <v>3</v>
      </c>
      <c r="F34" s="15" t="s">
        <v>35</v>
      </c>
      <c r="G34" s="15">
        <f t="shared" si="0"/>
        <v>32</v>
      </c>
      <c r="H34" s="10">
        <f t="shared" si="8"/>
        <v>201.1904855407102</v>
      </c>
      <c r="I34" s="10">
        <f t="shared" si="7"/>
        <v>53.87221416960783</v>
      </c>
      <c r="J34" s="10">
        <f t="shared" si="2"/>
        <v>147.31827137110236</v>
      </c>
      <c r="K34" s="10">
        <f t="shared" si="3"/>
        <v>46324.418703888965</v>
      </c>
      <c r="L34" s="10">
        <f t="shared" si="4"/>
        <v>4675.5812961110341</v>
      </c>
      <c r="M34" s="13"/>
      <c r="N34" s="13"/>
    </row>
    <row r="35" spans="5:14" x14ac:dyDescent="0.3">
      <c r="E35" s="15">
        <f t="shared" si="5"/>
        <v>3</v>
      </c>
      <c r="F35" s="15" t="s">
        <v>36</v>
      </c>
      <c r="G35" s="15">
        <f t="shared" si="0"/>
        <v>33</v>
      </c>
      <c r="H35" s="10">
        <f t="shared" si="8"/>
        <v>201.19048554071023</v>
      </c>
      <c r="I35" s="10">
        <f t="shared" si="7"/>
        <v>53.701435929263056</v>
      </c>
      <c r="J35" s="10">
        <f t="shared" si="2"/>
        <v>147.48904961144717</v>
      </c>
      <c r="K35" s="10">
        <f t="shared" si="3"/>
        <v>46176.929654277519</v>
      </c>
      <c r="L35" s="10">
        <f t="shared" si="4"/>
        <v>4823.0703457224809</v>
      </c>
      <c r="M35" s="13"/>
      <c r="N35" s="13"/>
    </row>
    <row r="36" spans="5:14" x14ac:dyDescent="0.3">
      <c r="E36" s="15">
        <f t="shared" si="5"/>
        <v>3</v>
      </c>
      <c r="F36" s="15" t="s">
        <v>37</v>
      </c>
      <c r="G36" s="15">
        <f t="shared" si="0"/>
        <v>34</v>
      </c>
      <c r="H36" s="10">
        <f t="shared" si="8"/>
        <v>201.19048554071028</v>
      </c>
      <c r="I36" s="10">
        <f t="shared" si="7"/>
        <v>53.530459714783063</v>
      </c>
      <c r="J36" s="10">
        <f t="shared" si="2"/>
        <v>147.66002582592722</v>
      </c>
      <c r="K36" s="10">
        <f t="shared" si="3"/>
        <v>46029.269628451591</v>
      </c>
      <c r="L36" s="10">
        <f t="shared" si="4"/>
        <v>4970.7303715484077</v>
      </c>
      <c r="M36" s="13"/>
      <c r="N36" s="13"/>
    </row>
    <row r="37" spans="5:14" x14ac:dyDescent="0.3">
      <c r="E37" s="15">
        <f t="shared" si="5"/>
        <v>3</v>
      </c>
      <c r="F37" s="15" t="s">
        <v>38</v>
      </c>
      <c r="G37" s="15">
        <f t="shared" si="0"/>
        <v>35</v>
      </c>
      <c r="H37" s="10">
        <f t="shared" si="8"/>
        <v>201.19048554071023</v>
      </c>
      <c r="I37" s="10">
        <f t="shared" si="7"/>
        <v>53.359285296666975</v>
      </c>
      <c r="J37" s="10">
        <f t="shared" si="2"/>
        <v>147.83120024404326</v>
      </c>
      <c r="K37" s="10">
        <f t="shared" si="3"/>
        <v>45881.438428207548</v>
      </c>
      <c r="L37" s="10">
        <f t="shared" si="4"/>
        <v>5118.5615717924511</v>
      </c>
      <c r="M37" s="13"/>
      <c r="N37" s="13"/>
    </row>
    <row r="38" spans="5:14" x14ac:dyDescent="0.3">
      <c r="E38" s="15">
        <f t="shared" si="5"/>
        <v>3</v>
      </c>
      <c r="F38" s="15" t="s">
        <v>27</v>
      </c>
      <c r="G38" s="15">
        <f t="shared" si="0"/>
        <v>36</v>
      </c>
      <c r="H38" s="10">
        <f t="shared" si="8"/>
        <v>201.19048554071023</v>
      </c>
      <c r="I38" s="10">
        <f t="shared" si="7"/>
        <v>53.187912445147845</v>
      </c>
      <c r="J38" s="10">
        <f t="shared" si="2"/>
        <v>148.00257309556238</v>
      </c>
      <c r="K38" s="10">
        <f t="shared" si="3"/>
        <v>45733.435855111988</v>
      </c>
      <c r="L38" s="10">
        <f t="shared" si="4"/>
        <v>5266.5641448880133</v>
      </c>
      <c r="M38" s="13"/>
      <c r="N38" s="13"/>
    </row>
    <row r="39" spans="5:14" x14ac:dyDescent="0.3">
      <c r="E39" s="15">
        <f t="shared" si="5"/>
        <v>4</v>
      </c>
      <c r="F39" s="15" t="s">
        <v>28</v>
      </c>
      <c r="G39" s="15">
        <f t="shared" si="0"/>
        <v>37</v>
      </c>
      <c r="H39" s="10">
        <f t="shared" si="8"/>
        <v>201.19048554071023</v>
      </c>
      <c r="I39" s="10">
        <f t="shared" si="7"/>
        <v>53.016340930192385</v>
      </c>
      <c r="J39" s="10">
        <f t="shared" si="2"/>
        <v>148.17414461051783</v>
      </c>
      <c r="K39" s="10">
        <f t="shared" si="3"/>
        <v>45585.261710501472</v>
      </c>
      <c r="L39" s="10">
        <f t="shared" si="4"/>
        <v>5414.7382894985312</v>
      </c>
      <c r="M39" s="13"/>
      <c r="N39" s="13"/>
    </row>
    <row r="40" spans="5:14" x14ac:dyDescent="0.3">
      <c r="E40" s="15">
        <f t="shared" si="5"/>
        <v>4</v>
      </c>
      <c r="F40" s="15" t="s">
        <v>29</v>
      </c>
      <c r="G40" s="15">
        <f t="shared" si="0"/>
        <v>38</v>
      </c>
      <c r="H40" s="10">
        <f t="shared" si="8"/>
        <v>201.19048554071028</v>
      </c>
      <c r="I40" s="10">
        <f t="shared" si="7"/>
        <v>52.844570521500629</v>
      </c>
      <c r="J40" s="10">
        <f t="shared" si="2"/>
        <v>148.34591501920966</v>
      </c>
      <c r="K40" s="10">
        <f t="shared" si="3"/>
        <v>45436.915795482266</v>
      </c>
      <c r="L40" s="10">
        <f t="shared" si="4"/>
        <v>5563.0842045177405</v>
      </c>
      <c r="M40" s="13"/>
      <c r="N40" s="13"/>
    </row>
    <row r="41" spans="5:14" x14ac:dyDescent="0.3">
      <c r="E41" s="15">
        <f t="shared" si="5"/>
        <v>4</v>
      </c>
      <c r="F41" s="15" t="s">
        <v>30</v>
      </c>
      <c r="G41" s="15">
        <f t="shared" si="0"/>
        <v>39</v>
      </c>
      <c r="H41" s="10">
        <f t="shared" si="8"/>
        <v>201.19048554071028</v>
      </c>
      <c r="I41" s="10">
        <f t="shared" si="7"/>
        <v>52.672600988505643</v>
      </c>
      <c r="J41" s="10">
        <f t="shared" si="2"/>
        <v>148.51788455220463</v>
      </c>
      <c r="K41" s="10">
        <f t="shared" si="3"/>
        <v>45288.397910930064</v>
      </c>
      <c r="L41" s="10">
        <f t="shared" si="4"/>
        <v>5711.6020890699456</v>
      </c>
      <c r="M41" s="13"/>
      <c r="N41" s="13"/>
    </row>
    <row r="42" spans="5:14" x14ac:dyDescent="0.3">
      <c r="E42" s="15">
        <f t="shared" si="5"/>
        <v>4</v>
      </c>
      <c r="F42" s="15" t="s">
        <v>31</v>
      </c>
      <c r="G42" s="15">
        <f t="shared" si="0"/>
        <v>40</v>
      </c>
      <c r="H42" s="10">
        <f t="shared" si="8"/>
        <v>201.19048554071023</v>
      </c>
      <c r="I42" s="10">
        <f t="shared" si="7"/>
        <v>52.500432100373217</v>
      </c>
      <c r="J42" s="10">
        <f t="shared" si="2"/>
        <v>148.69005344033701</v>
      </c>
      <c r="K42" s="10">
        <f t="shared" si="3"/>
        <v>45139.707857489724</v>
      </c>
      <c r="L42" s="10">
        <f t="shared" si="4"/>
        <v>5860.2921425102822</v>
      </c>
      <c r="M42" s="13"/>
      <c r="N42" s="13"/>
    </row>
    <row r="43" spans="5:14" x14ac:dyDescent="0.3">
      <c r="E43" s="15">
        <f t="shared" si="5"/>
        <v>4</v>
      </c>
      <c r="F43" s="15" t="s">
        <v>32</v>
      </c>
      <c r="G43" s="15">
        <f t="shared" si="0"/>
        <v>41</v>
      </c>
      <c r="H43" s="10">
        <f t="shared" si="8"/>
        <v>201.19048554071028</v>
      </c>
      <c r="I43" s="10">
        <f t="shared" si="7"/>
        <v>52.328063626001516</v>
      </c>
      <c r="J43" s="10">
        <f t="shared" si="2"/>
        <v>148.86242191470876</v>
      </c>
      <c r="K43" s="10">
        <f t="shared" si="3"/>
        <v>44990.845435575015</v>
      </c>
      <c r="L43" s="10">
        <f t="shared" si="4"/>
        <v>6009.1545644249909</v>
      </c>
      <c r="M43" s="13"/>
      <c r="N43" s="13"/>
    </row>
    <row r="44" spans="5:14" x14ac:dyDescent="0.3">
      <c r="E44" s="15">
        <f t="shared" si="5"/>
        <v>4</v>
      </c>
      <c r="F44" s="15" t="s">
        <v>33</v>
      </c>
      <c r="G44" s="15">
        <f t="shared" si="0"/>
        <v>42</v>
      </c>
      <c r="H44" s="10">
        <f t="shared" si="8"/>
        <v>201.19048554071028</v>
      </c>
      <c r="I44" s="10">
        <f t="shared" si="7"/>
        <v>52.155495334020841</v>
      </c>
      <c r="J44" s="10">
        <f t="shared" si="2"/>
        <v>149.03499020668943</v>
      </c>
      <c r="K44" s="10">
        <f t="shared" si="3"/>
        <v>44841.810445368326</v>
      </c>
      <c r="L44" s="10">
        <f t="shared" si="4"/>
        <v>6158.18955463168</v>
      </c>
      <c r="M44" s="13"/>
      <c r="N44" s="13"/>
    </row>
    <row r="45" spans="5:14" x14ac:dyDescent="0.3">
      <c r="E45" s="15">
        <f t="shared" si="5"/>
        <v>4</v>
      </c>
      <c r="F45" s="15" t="s">
        <v>34</v>
      </c>
      <c r="G45" s="15">
        <f t="shared" si="0"/>
        <v>43</v>
      </c>
      <c r="H45" s="10">
        <f t="shared" si="8"/>
        <v>201.19048554071023</v>
      </c>
      <c r="I45" s="10">
        <f t="shared" si="7"/>
        <v>51.98272699279326</v>
      </c>
      <c r="J45" s="10">
        <f t="shared" si="2"/>
        <v>149.20775854791697</v>
      </c>
      <c r="K45" s="10">
        <f t="shared" si="3"/>
        <v>44692.602686820406</v>
      </c>
      <c r="L45" s="10">
        <f t="shared" si="4"/>
        <v>6307.3973131795974</v>
      </c>
      <c r="M45" s="13"/>
      <c r="N45" s="13"/>
    </row>
    <row r="46" spans="5:14" x14ac:dyDescent="0.3">
      <c r="E46" s="15">
        <f t="shared" si="5"/>
        <v>4</v>
      </c>
      <c r="F46" s="15" t="s">
        <v>35</v>
      </c>
      <c r="G46" s="15">
        <f t="shared" si="0"/>
        <v>44</v>
      </c>
      <c r="H46" s="10">
        <f t="shared" si="8"/>
        <v>201.19048554071031</v>
      </c>
      <c r="I46" s="10">
        <f t="shared" si="7"/>
        <v>51.809758370412311</v>
      </c>
      <c r="J46" s="10">
        <f t="shared" si="2"/>
        <v>149.380727170298</v>
      </c>
      <c r="K46" s="10">
        <f t="shared" si="3"/>
        <v>44543.221959650109</v>
      </c>
      <c r="L46" s="10">
        <f t="shared" si="4"/>
        <v>6456.7780403498955</v>
      </c>
      <c r="M46" s="13"/>
      <c r="N46" s="13"/>
    </row>
    <row r="47" spans="5:14" x14ac:dyDescent="0.3">
      <c r="E47" s="15">
        <f t="shared" si="5"/>
        <v>4</v>
      </c>
      <c r="F47" s="15" t="s">
        <v>36</v>
      </c>
      <c r="G47" s="15">
        <f t="shared" si="0"/>
        <v>45</v>
      </c>
      <c r="H47" s="10">
        <f t="shared" si="8"/>
        <v>201.19048554071028</v>
      </c>
      <c r="I47" s="10">
        <f t="shared" si="7"/>
        <v>51.636589234702704</v>
      </c>
      <c r="J47" s="10">
        <f t="shared" si="2"/>
        <v>149.55389630600757</v>
      </c>
      <c r="K47" s="10">
        <f t="shared" si="3"/>
        <v>44393.668063344099</v>
      </c>
      <c r="L47" s="10">
        <f t="shared" si="4"/>
        <v>6606.3319366559026</v>
      </c>
      <c r="M47" s="13"/>
      <c r="N47" s="13"/>
    </row>
    <row r="48" spans="5:14" x14ac:dyDescent="0.3">
      <c r="E48" s="15">
        <f t="shared" si="5"/>
        <v>4</v>
      </c>
      <c r="F48" s="15" t="s">
        <v>37</v>
      </c>
      <c r="G48" s="15">
        <f t="shared" si="0"/>
        <v>46</v>
      </c>
      <c r="H48" s="10">
        <f t="shared" si="8"/>
        <v>201.19048554071023</v>
      </c>
      <c r="I48" s="10">
        <f t="shared" si="7"/>
        <v>51.463219353219991</v>
      </c>
      <c r="J48" s="10">
        <f t="shared" si="2"/>
        <v>149.72726618749024</v>
      </c>
      <c r="K48" s="10">
        <f t="shared" si="3"/>
        <v>44243.940797156611</v>
      </c>
      <c r="L48" s="10">
        <f t="shared" si="4"/>
        <v>6756.059202843393</v>
      </c>
      <c r="M48" s="13"/>
      <c r="N48" s="13"/>
    </row>
    <row r="49" spans="5:14" x14ac:dyDescent="0.3">
      <c r="E49" s="15">
        <f t="shared" si="5"/>
        <v>4</v>
      </c>
      <c r="F49" s="15" t="s">
        <v>38</v>
      </c>
      <c r="G49" s="15">
        <f t="shared" si="0"/>
        <v>47</v>
      </c>
      <c r="H49" s="10">
        <f t="shared" si="8"/>
        <v>201.19048554071028</v>
      </c>
      <c r="I49" s="10">
        <f t="shared" si="7"/>
        <v>51.289648493250276</v>
      </c>
      <c r="J49" s="10">
        <f t="shared" si="2"/>
        <v>149.90083704746002</v>
      </c>
      <c r="K49" s="10">
        <f t="shared" si="3"/>
        <v>44094.039960109149</v>
      </c>
      <c r="L49" s="10">
        <f t="shared" si="4"/>
        <v>6905.9600398908533</v>
      </c>
      <c r="M49" s="13"/>
      <c r="N49" s="13"/>
    </row>
    <row r="50" spans="5:14" x14ac:dyDescent="0.3">
      <c r="E50" s="15">
        <f t="shared" si="5"/>
        <v>4</v>
      </c>
      <c r="F50" s="15" t="s">
        <v>27</v>
      </c>
      <c r="G50" s="15">
        <f t="shared" si="0"/>
        <v>48</v>
      </c>
      <c r="H50" s="10">
        <f t="shared" si="8"/>
        <v>201.19048554071023</v>
      </c>
      <c r="I50" s="10">
        <f t="shared" si="7"/>
        <v>51.115876421809872</v>
      </c>
      <c r="J50" s="10">
        <f t="shared" si="2"/>
        <v>150.07460911890036</v>
      </c>
      <c r="K50" s="10">
        <f t="shared" si="3"/>
        <v>43943.965350990249</v>
      </c>
      <c r="L50" s="10">
        <f t="shared" si="4"/>
        <v>7056.0346490097536</v>
      </c>
      <c r="M50" s="13"/>
      <c r="N50" s="13"/>
    </row>
    <row r="51" spans="5:14" x14ac:dyDescent="0.3">
      <c r="E51" s="15">
        <f t="shared" si="5"/>
        <v>5</v>
      </c>
      <c r="F51" s="15" t="s">
        <v>28</v>
      </c>
      <c r="G51" s="15">
        <f t="shared" si="0"/>
        <v>49</v>
      </c>
      <c r="H51" s="10">
        <f t="shared" si="8"/>
        <v>201.19048554071023</v>
      </c>
      <c r="I51" s="10">
        <f t="shared" si="7"/>
        <v>50.941902905645037</v>
      </c>
      <c r="J51" s="10">
        <f t="shared" si="2"/>
        <v>150.24858263506519</v>
      </c>
      <c r="K51" s="10">
        <f t="shared" si="3"/>
        <v>43793.716768355182</v>
      </c>
      <c r="L51" s="10">
        <f t="shared" si="4"/>
        <v>7206.2832316448184</v>
      </c>
      <c r="M51" s="13"/>
      <c r="N51" s="13"/>
    </row>
    <row r="52" spans="5:14" x14ac:dyDescent="0.3">
      <c r="E52" s="15">
        <f t="shared" si="5"/>
        <v>5</v>
      </c>
      <c r="F52" s="15" t="s">
        <v>29</v>
      </c>
      <c r="G52" s="15">
        <f t="shared" si="0"/>
        <v>50</v>
      </c>
      <c r="H52" s="10">
        <f t="shared" si="8"/>
        <v>201.19048554071023</v>
      </c>
      <c r="I52" s="10">
        <f t="shared" si="7"/>
        <v>50.767727711231593</v>
      </c>
      <c r="J52" s="10">
        <f t="shared" si="2"/>
        <v>150.42275782947863</v>
      </c>
      <c r="K52" s="10">
        <f t="shared" si="3"/>
        <v>43643.2940105257</v>
      </c>
      <c r="L52" s="10">
        <f t="shared" si="4"/>
        <v>7356.705989474297</v>
      </c>
      <c r="M52" s="13"/>
      <c r="N52" s="13"/>
    </row>
    <row r="53" spans="5:14" x14ac:dyDescent="0.3">
      <c r="E53" s="15">
        <f t="shared" si="5"/>
        <v>5</v>
      </c>
      <c r="F53" s="15" t="s">
        <v>30</v>
      </c>
      <c r="G53" s="15">
        <f t="shared" si="0"/>
        <v>51</v>
      </c>
      <c r="H53" s="10">
        <f t="shared" si="8"/>
        <v>201.19048554071023</v>
      </c>
      <c r="I53" s="10">
        <f t="shared" si="7"/>
        <v>50.59335060477467</v>
      </c>
      <c r="J53" s="10">
        <f t="shared" si="2"/>
        <v>150.59713493593557</v>
      </c>
      <c r="K53" s="10">
        <f t="shared" si="3"/>
        <v>43492.696875589761</v>
      </c>
      <c r="L53" s="10">
        <f t="shared" si="4"/>
        <v>7507.3031244102322</v>
      </c>
      <c r="M53" s="13"/>
      <c r="N53" s="13"/>
    </row>
    <row r="54" spans="5:14" x14ac:dyDescent="0.3">
      <c r="E54" s="15">
        <f t="shared" si="5"/>
        <v>5</v>
      </c>
      <c r="F54" s="15" t="s">
        <v>31</v>
      </c>
      <c r="G54" s="15">
        <f t="shared" si="0"/>
        <v>52</v>
      </c>
      <c r="H54" s="10">
        <f t="shared" si="8"/>
        <v>201.19048554071023</v>
      </c>
      <c r="I54" s="10">
        <f t="shared" si="7"/>
        <v>50.418771352208381</v>
      </c>
      <c r="J54" s="10">
        <f t="shared" si="2"/>
        <v>150.77171418850185</v>
      </c>
      <c r="K54" s="10">
        <f t="shared" si="3"/>
        <v>43341.925161401261</v>
      </c>
      <c r="L54" s="10">
        <f t="shared" si="4"/>
        <v>7658.0748385987335</v>
      </c>
      <c r="M54" s="13"/>
      <c r="N54" s="13"/>
    </row>
    <row r="55" spans="5:14" x14ac:dyDescent="0.3">
      <c r="E55" s="15">
        <f t="shared" si="5"/>
        <v>5</v>
      </c>
      <c r="F55" s="15" t="s">
        <v>32</v>
      </c>
      <c r="G55" s="15">
        <f t="shared" si="0"/>
        <v>53</v>
      </c>
      <c r="H55" s="10">
        <f t="shared" si="8"/>
        <v>201.1904855407102</v>
      </c>
      <c r="I55" s="10">
        <f t="shared" si="7"/>
        <v>50.243989719195483</v>
      </c>
      <c r="J55" s="10">
        <f t="shared" si="2"/>
        <v>150.9464958215147</v>
      </c>
      <c r="K55" s="10">
        <f t="shared" si="3"/>
        <v>43190.978665579743</v>
      </c>
      <c r="L55" s="10">
        <f t="shared" si="4"/>
        <v>7809.0213344202484</v>
      </c>
      <c r="M55" s="13"/>
      <c r="N55" s="13"/>
    </row>
    <row r="56" spans="5:14" x14ac:dyDescent="0.3">
      <c r="E56" s="15">
        <f t="shared" si="5"/>
        <v>5</v>
      </c>
      <c r="F56" s="15" t="s">
        <v>33</v>
      </c>
      <c r="G56" s="15">
        <f t="shared" si="0"/>
        <v>54</v>
      </c>
      <c r="H56" s="10">
        <f t="shared" si="8"/>
        <v>201.1904855407102</v>
      </c>
      <c r="I56" s="10">
        <f t="shared" si="7"/>
        <v>50.069005471127078</v>
      </c>
      <c r="J56" s="10">
        <f t="shared" si="2"/>
        <v>151.12148006958313</v>
      </c>
      <c r="K56" s="10">
        <f t="shared" si="3"/>
        <v>43039.857185510162</v>
      </c>
      <c r="L56" s="10">
        <f t="shared" si="4"/>
        <v>7960.1428144898318</v>
      </c>
      <c r="M56" s="13"/>
      <c r="N56" s="13"/>
    </row>
    <row r="57" spans="5:14" x14ac:dyDescent="0.3">
      <c r="E57" s="15">
        <f t="shared" si="5"/>
        <v>5</v>
      </c>
      <c r="F57" s="15" t="s">
        <v>34</v>
      </c>
      <c r="G57" s="15">
        <f t="shared" si="0"/>
        <v>55</v>
      </c>
      <c r="H57" s="10">
        <f t="shared" si="8"/>
        <v>201.1904855407102</v>
      </c>
      <c r="I57" s="10">
        <f t="shared" si="7"/>
        <v>49.893818373122308</v>
      </c>
      <c r="J57" s="10">
        <f t="shared" si="2"/>
        <v>151.29666716758788</v>
      </c>
      <c r="K57" s="10">
        <f t="shared" si="3"/>
        <v>42888.560518342572</v>
      </c>
      <c r="L57" s="10">
        <f t="shared" si="4"/>
        <v>8111.4394816574195</v>
      </c>
      <c r="M57" s="13"/>
      <c r="N57" s="13"/>
    </row>
    <row r="58" spans="5:14" x14ac:dyDescent="0.3">
      <c r="E58" s="15">
        <f t="shared" si="5"/>
        <v>5</v>
      </c>
      <c r="F58" s="15" t="s">
        <v>35</v>
      </c>
      <c r="G58" s="15">
        <f t="shared" si="0"/>
        <v>56</v>
      </c>
      <c r="H58" s="10">
        <f t="shared" si="8"/>
        <v>201.1904855407102</v>
      </c>
      <c r="I58" s="10">
        <f t="shared" si="7"/>
        <v>49.718428190028028</v>
      </c>
      <c r="J58" s="10">
        <f t="shared" si="2"/>
        <v>151.47205735068218</v>
      </c>
      <c r="K58" s="10">
        <f t="shared" si="3"/>
        <v>42737.088460991887</v>
      </c>
      <c r="L58" s="10">
        <f t="shared" si="4"/>
        <v>8262.9115390081024</v>
      </c>
      <c r="M58" s="13"/>
      <c r="N58" s="13"/>
    </row>
    <row r="59" spans="5:14" x14ac:dyDescent="0.3">
      <c r="E59" s="15">
        <f t="shared" si="5"/>
        <v>5</v>
      </c>
      <c r="F59" s="15" t="s">
        <v>36</v>
      </c>
      <c r="G59" s="15">
        <f t="shared" si="0"/>
        <v>57</v>
      </c>
      <c r="H59" s="10">
        <f t="shared" si="8"/>
        <v>201.1904855407102</v>
      </c>
      <c r="I59" s="10">
        <f t="shared" si="7"/>
        <v>49.54283468641848</v>
      </c>
      <c r="J59" s="10">
        <f t="shared" si="2"/>
        <v>151.64765085429173</v>
      </c>
      <c r="K59" s="10">
        <f t="shared" si="3"/>
        <v>42585.440810137596</v>
      </c>
      <c r="L59" s="10">
        <f t="shared" si="4"/>
        <v>8414.5591898623934</v>
      </c>
      <c r="M59" s="13"/>
      <c r="N59" s="13"/>
    </row>
    <row r="60" spans="5:14" x14ac:dyDescent="0.3">
      <c r="E60" s="15">
        <f t="shared" si="5"/>
        <v>5</v>
      </c>
      <c r="F60" s="15" t="s">
        <v>37</v>
      </c>
      <c r="G60" s="15">
        <f t="shared" si="0"/>
        <v>58</v>
      </c>
      <c r="H60" s="10">
        <f t="shared" si="8"/>
        <v>201.1904855407102</v>
      </c>
      <c r="I60" s="10">
        <f t="shared" si="7"/>
        <v>49.367037626595014</v>
      </c>
      <c r="J60" s="10">
        <f t="shared" si="2"/>
        <v>151.82344791411518</v>
      </c>
      <c r="K60" s="10">
        <f t="shared" si="3"/>
        <v>42433.617362223478</v>
      </c>
      <c r="L60" s="10">
        <f t="shared" si="4"/>
        <v>8566.382637776509</v>
      </c>
      <c r="M60" s="13"/>
      <c r="N60" s="13"/>
    </row>
    <row r="61" spans="5:14" x14ac:dyDescent="0.3">
      <c r="E61" s="15">
        <f t="shared" si="5"/>
        <v>5</v>
      </c>
      <c r="F61" s="15" t="s">
        <v>38</v>
      </c>
      <c r="G61" s="15">
        <f t="shared" si="0"/>
        <v>59</v>
      </c>
      <c r="H61" s="10">
        <f t="shared" si="8"/>
        <v>201.19048554071017</v>
      </c>
      <c r="I61" s="10">
        <f t="shared" si="7"/>
        <v>49.191036774585719</v>
      </c>
      <c r="J61" s="10">
        <f t="shared" si="2"/>
        <v>151.99944876612446</v>
      </c>
      <c r="K61" s="10">
        <f t="shared" si="3"/>
        <v>42281.617913457354</v>
      </c>
      <c r="L61" s="10">
        <f t="shared" si="4"/>
        <v>8718.3820865426333</v>
      </c>
      <c r="M61" s="13"/>
      <c r="N61" s="13"/>
    </row>
    <row r="62" spans="5:14" x14ac:dyDescent="0.3">
      <c r="E62" s="15">
        <f t="shared" si="5"/>
        <v>5</v>
      </c>
      <c r="F62" s="15" t="s">
        <v>27</v>
      </c>
      <c r="G62" s="15">
        <f t="shared" si="0"/>
        <v>60</v>
      </c>
      <c r="H62" s="10">
        <f t="shared" si="8"/>
        <v>201.1904855407102</v>
      </c>
      <c r="I62" s="10">
        <f t="shared" si="7"/>
        <v>49.014831894145154</v>
      </c>
      <c r="J62" s="10">
        <f t="shared" si="2"/>
        <v>152.17565364656505</v>
      </c>
      <c r="K62" s="10">
        <f t="shared" si="3"/>
        <v>42129.442259810792</v>
      </c>
      <c r="L62" s="10">
        <f t="shared" si="4"/>
        <v>8870.5577401891987</v>
      </c>
      <c r="M62" s="13"/>
      <c r="N62" s="13"/>
    </row>
    <row r="63" spans="5:14" x14ac:dyDescent="0.3">
      <c r="E63" s="15">
        <f t="shared" si="5"/>
        <v>6</v>
      </c>
      <c r="F63" s="15" t="s">
        <v>28</v>
      </c>
      <c r="G63" s="15">
        <f t="shared" si="0"/>
        <v>61</v>
      </c>
      <c r="H63" s="10">
        <f t="shared" si="8"/>
        <v>201.19048554071023</v>
      </c>
      <c r="I63" s="10">
        <f t="shared" si="7"/>
        <v>48.838422748754006</v>
      </c>
      <c r="J63" s="10">
        <f t="shared" si="2"/>
        <v>152.35206279195623</v>
      </c>
      <c r="K63" s="10">
        <f t="shared" si="3"/>
        <v>41977.090197018835</v>
      </c>
      <c r="L63" s="10">
        <f t="shared" si="4"/>
        <v>9022.9098029811557</v>
      </c>
      <c r="M63" s="13"/>
      <c r="N63" s="13"/>
    </row>
    <row r="64" spans="5:14" x14ac:dyDescent="0.3">
      <c r="E64" s="15">
        <f t="shared" si="5"/>
        <v>6</v>
      </c>
      <c r="F64" s="15" t="s">
        <v>29</v>
      </c>
      <c r="G64" s="15">
        <f t="shared" si="0"/>
        <v>62</v>
      </c>
      <c r="H64" s="10">
        <f t="shared" si="8"/>
        <v>201.1904855407102</v>
      </c>
      <c r="I64" s="10">
        <f t="shared" si="7"/>
        <v>48.661809101618779</v>
      </c>
      <c r="J64" s="10">
        <f t="shared" si="2"/>
        <v>152.52867643909141</v>
      </c>
      <c r="K64" s="10">
        <f t="shared" si="3"/>
        <v>41824.561520579744</v>
      </c>
      <c r="L64" s="10">
        <f t="shared" si="4"/>
        <v>9175.4384794202469</v>
      </c>
      <c r="M64" s="13"/>
      <c r="N64" s="13"/>
    </row>
    <row r="65" spans="5:14" x14ac:dyDescent="0.3">
      <c r="E65" s="15">
        <f t="shared" si="5"/>
        <v>6</v>
      </c>
      <c r="F65" s="15" t="s">
        <v>30</v>
      </c>
      <c r="G65" s="15">
        <f t="shared" si="0"/>
        <v>63</v>
      </c>
      <c r="H65" s="10">
        <f t="shared" si="8"/>
        <v>201.1904855407102</v>
      </c>
      <c r="I65" s="10">
        <f t="shared" si="7"/>
        <v>48.484990715671465</v>
      </c>
      <c r="J65" s="10">
        <f t="shared" si="2"/>
        <v>152.70549482503873</v>
      </c>
      <c r="K65" s="10">
        <f t="shared" si="3"/>
        <v>41671.856025754707</v>
      </c>
      <c r="L65" s="10">
        <f t="shared" si="4"/>
        <v>9328.1439742452858</v>
      </c>
      <c r="M65" s="13"/>
      <c r="N65" s="13"/>
    </row>
    <row r="66" spans="5:14" x14ac:dyDescent="0.3">
      <c r="E66" s="15">
        <f t="shared" si="5"/>
        <v>6</v>
      </c>
      <c r="F66" s="15" t="s">
        <v>31</v>
      </c>
      <c r="G66" s="15">
        <f t="shared" si="0"/>
        <v>64</v>
      </c>
      <c r="H66" s="10">
        <f t="shared" si="8"/>
        <v>201.19048554071023</v>
      </c>
      <c r="I66" s="10">
        <f t="shared" si="7"/>
        <v>48.307967353569254</v>
      </c>
      <c r="J66" s="10">
        <f t="shared" si="2"/>
        <v>152.88251818714099</v>
      </c>
      <c r="K66" s="10">
        <f t="shared" si="3"/>
        <v>41518.973507567564</v>
      </c>
      <c r="L66" s="10">
        <f t="shared" si="4"/>
        <v>9481.0264924324274</v>
      </c>
      <c r="M66" s="13"/>
      <c r="N66" s="13"/>
    </row>
    <row r="67" spans="5:14" x14ac:dyDescent="0.3">
      <c r="E67" s="15">
        <f t="shared" si="5"/>
        <v>6</v>
      </c>
      <c r="F67" s="15" t="s">
        <v>32</v>
      </c>
      <c r="G67" s="15">
        <f t="shared" ref="G67:G130" si="9">IF(G66&gt;=$B$18,"",G66+1)</f>
        <v>65</v>
      </c>
      <c r="H67" s="10">
        <f t="shared" si="8"/>
        <v>201.19048554071017</v>
      </c>
      <c r="I67" s="10">
        <f t="shared" si="7"/>
        <v>48.13073877769417</v>
      </c>
      <c r="J67" s="10">
        <f t="shared" ref="J67:J130" si="10">IF(G67&lt;=$B$18,H67-I67,"")</f>
        <v>153.05974676301599</v>
      </c>
      <c r="K67" s="10">
        <f t="shared" ref="K67:K130" si="11">IF(G67&lt;=$B$18,K66-J67,"")</f>
        <v>41365.913760804549</v>
      </c>
      <c r="L67" s="10">
        <f t="shared" ref="L67:L130" si="12">IF(G67&lt;=$B$18,L66+J67,"")</f>
        <v>9634.0862391954433</v>
      </c>
      <c r="M67" s="13"/>
      <c r="N67" s="13"/>
    </row>
    <row r="68" spans="5:14" x14ac:dyDescent="0.3">
      <c r="E68" s="15">
        <f t="shared" ref="E68:E131" si="13">IF(G67&gt;=$B$18,"",INT(G67/12)+1)</f>
        <v>6</v>
      </c>
      <c r="F68" s="15" t="s">
        <v>33</v>
      </c>
      <c r="G68" s="15">
        <f t="shared" si="9"/>
        <v>66</v>
      </c>
      <c r="H68" s="10">
        <f t="shared" si="8"/>
        <v>201.1904855407102</v>
      </c>
      <c r="I68" s="10">
        <f t="shared" si="7"/>
        <v>47.95330475015281</v>
      </c>
      <c r="J68" s="10">
        <f t="shared" si="10"/>
        <v>153.23718079055737</v>
      </c>
      <c r="K68" s="10">
        <f t="shared" si="11"/>
        <v>41212.676580013991</v>
      </c>
      <c r="L68" s="10">
        <f t="shared" si="12"/>
        <v>9787.3234199859999</v>
      </c>
      <c r="M68" s="13"/>
      <c r="N68" s="13"/>
    </row>
    <row r="69" spans="5:14" x14ac:dyDescent="0.3">
      <c r="E69" s="15">
        <f t="shared" si="13"/>
        <v>6</v>
      </c>
      <c r="F69" s="15" t="s">
        <v>34</v>
      </c>
      <c r="G69" s="15">
        <f t="shared" si="9"/>
        <v>67</v>
      </c>
      <c r="H69" s="10">
        <f t="shared" si="8"/>
        <v>201.1904855407102</v>
      </c>
      <c r="I69" s="10">
        <f t="shared" si="7"/>
        <v>47.775665032775976</v>
      </c>
      <c r="J69" s="10">
        <f t="shared" si="10"/>
        <v>153.41482050793422</v>
      </c>
      <c r="K69" s="10">
        <f t="shared" si="11"/>
        <v>41059.261759506058</v>
      </c>
      <c r="L69" s="10">
        <f t="shared" si="12"/>
        <v>9940.7382404939344</v>
      </c>
      <c r="M69" s="13"/>
      <c r="N69" s="13"/>
    </row>
    <row r="70" spans="5:14" x14ac:dyDescent="0.3">
      <c r="E70" s="15">
        <f t="shared" si="13"/>
        <v>6</v>
      </c>
      <c r="F70" s="15" t="s">
        <v>35</v>
      </c>
      <c r="G70" s="15">
        <f t="shared" si="9"/>
        <v>68</v>
      </c>
      <c r="H70" s="10">
        <f t="shared" si="8"/>
        <v>201.19048554071017</v>
      </c>
      <c r="I70" s="10">
        <f t="shared" si="7"/>
        <v>47.597819387118371</v>
      </c>
      <c r="J70" s="10">
        <f t="shared" si="10"/>
        <v>153.59266615359181</v>
      </c>
      <c r="K70" s="10">
        <f t="shared" si="11"/>
        <v>40905.669093352466</v>
      </c>
      <c r="L70" s="10">
        <f t="shared" si="12"/>
        <v>10094.330906647527</v>
      </c>
      <c r="M70" s="13"/>
      <c r="N70" s="13"/>
    </row>
    <row r="71" spans="5:14" x14ac:dyDescent="0.3">
      <c r="E71" s="15">
        <f t="shared" si="13"/>
        <v>6</v>
      </c>
      <c r="F71" s="15" t="s">
        <v>36</v>
      </c>
      <c r="G71" s="15">
        <f t="shared" si="9"/>
        <v>69</v>
      </c>
      <c r="H71" s="10">
        <f t="shared" si="8"/>
        <v>201.1904855407102</v>
      </c>
      <c r="I71" s="10">
        <f t="shared" si="7"/>
        <v>47.419767574458298</v>
      </c>
      <c r="J71" s="10">
        <f t="shared" si="10"/>
        <v>153.77071796625191</v>
      </c>
      <c r="K71" s="10">
        <f t="shared" si="11"/>
        <v>40751.898375386212</v>
      </c>
      <c r="L71" s="10">
        <f t="shared" si="12"/>
        <v>10248.101624613779</v>
      </c>
      <c r="M71" s="13"/>
      <c r="N71" s="13"/>
    </row>
    <row r="72" spans="5:14" x14ac:dyDescent="0.3">
      <c r="E72" s="15">
        <f t="shared" si="13"/>
        <v>6</v>
      </c>
      <c r="F72" s="15" t="s">
        <v>37</v>
      </c>
      <c r="G72" s="15">
        <f t="shared" si="9"/>
        <v>70</v>
      </c>
      <c r="H72" s="10">
        <f t="shared" si="8"/>
        <v>201.19048554071017</v>
      </c>
      <c r="I72" s="10">
        <f t="shared" si="7"/>
        <v>47.241509355797298</v>
      </c>
      <c r="J72" s="10">
        <f t="shared" si="10"/>
        <v>153.94897618491288</v>
      </c>
      <c r="K72" s="10">
        <f t="shared" si="11"/>
        <v>40597.949399201301</v>
      </c>
      <c r="L72" s="10">
        <f t="shared" si="12"/>
        <v>10402.050600798691</v>
      </c>
      <c r="M72" s="13"/>
      <c r="N72" s="13"/>
    </row>
    <row r="73" spans="5:14" x14ac:dyDescent="0.3">
      <c r="E73" s="15">
        <f t="shared" si="13"/>
        <v>6</v>
      </c>
      <c r="F73" s="15" t="s">
        <v>38</v>
      </c>
      <c r="G73" s="15">
        <f t="shared" si="9"/>
        <v>71</v>
      </c>
      <c r="H73" s="10">
        <f t="shared" si="8"/>
        <v>201.19048554071017</v>
      </c>
      <c r="I73" s="10">
        <f t="shared" si="7"/>
        <v>47.063044491859877</v>
      </c>
      <c r="J73" s="10">
        <f t="shared" si="10"/>
        <v>154.1274410488503</v>
      </c>
      <c r="K73" s="10">
        <f t="shared" si="11"/>
        <v>40443.821958152454</v>
      </c>
      <c r="L73" s="10">
        <f t="shared" si="12"/>
        <v>10556.178041847541</v>
      </c>
      <c r="M73" s="13"/>
      <c r="N73" s="13"/>
    </row>
    <row r="74" spans="5:14" x14ac:dyDescent="0.3">
      <c r="E74" s="15">
        <f t="shared" si="13"/>
        <v>6</v>
      </c>
      <c r="F74" s="15" t="s">
        <v>27</v>
      </c>
      <c r="G74" s="15">
        <f t="shared" si="9"/>
        <v>72</v>
      </c>
      <c r="H74" s="10">
        <f t="shared" si="8"/>
        <v>201.19048554071023</v>
      </c>
      <c r="I74" s="10">
        <f t="shared" si="7"/>
        <v>46.884372743093145</v>
      </c>
      <c r="J74" s="10">
        <f t="shared" si="10"/>
        <v>154.30611279761709</v>
      </c>
      <c r="K74" s="10">
        <f t="shared" si="11"/>
        <v>40289.515845354836</v>
      </c>
      <c r="L74" s="10">
        <f t="shared" si="12"/>
        <v>10710.484154645159</v>
      </c>
      <c r="M74" s="13"/>
      <c r="N74" s="13"/>
    </row>
    <row r="75" spans="5:14" x14ac:dyDescent="0.3">
      <c r="E75" s="15">
        <f t="shared" si="13"/>
        <v>7</v>
      </c>
      <c r="F75" s="15" t="s">
        <v>28</v>
      </c>
      <c r="G75" s="15">
        <f t="shared" si="9"/>
        <v>73</v>
      </c>
      <c r="H75" s="10">
        <f>IF(G75&lt;=$B$18,PMT($B$11,$B$18-G74,-K74)+M75,"")</f>
        <v>201.1904855407102</v>
      </c>
      <c r="I75" s="10">
        <f>IF(G75&lt;=$B$18,K74*$B$11,"")</f>
        <v>46.705493869666526</v>
      </c>
      <c r="J75" s="10">
        <f t="shared" si="10"/>
        <v>154.48499167104367</v>
      </c>
      <c r="K75" s="10">
        <f t="shared" si="11"/>
        <v>40135.030853683791</v>
      </c>
      <c r="L75" s="10">
        <f t="shared" si="12"/>
        <v>10864.969146316203</v>
      </c>
      <c r="M75" s="13"/>
      <c r="N75" s="13"/>
    </row>
    <row r="76" spans="5:14" x14ac:dyDescent="0.3">
      <c r="E76" s="15">
        <f t="shared" si="13"/>
        <v>7</v>
      </c>
      <c r="F76" s="15" t="s">
        <v>29</v>
      </c>
      <c r="G76" s="15">
        <f t="shared" si="9"/>
        <v>74</v>
      </c>
      <c r="H76" s="10">
        <f t="shared" ref="H76:H139" si="14">IF(G76&lt;=$B$18,PMT($B$11,$B$18-G75,-K75)+M76,"")</f>
        <v>201.1904855407102</v>
      </c>
      <c r="I76" s="10">
        <f t="shared" ref="I76:I139" si="15">IF(G76&lt;=$B$18,K75*$B$11,"")</f>
        <v>46.5264076314714</v>
      </c>
      <c r="J76" s="10">
        <f t="shared" si="10"/>
        <v>154.66407790923881</v>
      </c>
      <c r="K76" s="10">
        <f t="shared" si="11"/>
        <v>39980.36677577455</v>
      </c>
      <c r="L76" s="10">
        <f t="shared" si="12"/>
        <v>11019.633224225443</v>
      </c>
      <c r="M76" s="13"/>
      <c r="N76" s="13"/>
    </row>
    <row r="77" spans="5:14" x14ac:dyDescent="0.3">
      <c r="E77" s="15">
        <f t="shared" si="13"/>
        <v>7</v>
      </c>
      <c r="F77" s="15" t="s">
        <v>30</v>
      </c>
      <c r="G77" s="15">
        <f t="shared" si="9"/>
        <v>75</v>
      </c>
      <c r="H77" s="10">
        <f t="shared" si="14"/>
        <v>201.1904855407102</v>
      </c>
      <c r="I77" s="10">
        <f t="shared" si="15"/>
        <v>46.347113788120822</v>
      </c>
      <c r="J77" s="10">
        <f t="shared" si="10"/>
        <v>154.84337175258938</v>
      </c>
      <c r="K77" s="10">
        <f t="shared" si="11"/>
        <v>39825.523404021958</v>
      </c>
      <c r="L77" s="10">
        <f t="shared" si="12"/>
        <v>11174.476595978032</v>
      </c>
      <c r="M77" s="13"/>
      <c r="N77" s="13"/>
    </row>
    <row r="78" spans="5:14" x14ac:dyDescent="0.3">
      <c r="E78" s="15">
        <f t="shared" si="13"/>
        <v>7</v>
      </c>
      <c r="F78" s="15" t="s">
        <v>31</v>
      </c>
      <c r="G78" s="15">
        <f t="shared" si="9"/>
        <v>76</v>
      </c>
      <c r="H78" s="10">
        <f t="shared" si="14"/>
        <v>201.1904855407102</v>
      </c>
      <c r="I78" s="10">
        <f t="shared" si="15"/>
        <v>46.167612098949171</v>
      </c>
      <c r="J78" s="10">
        <f t="shared" si="10"/>
        <v>155.02287344176102</v>
      </c>
      <c r="K78" s="10">
        <f t="shared" si="11"/>
        <v>39670.500530580197</v>
      </c>
      <c r="L78" s="10">
        <f t="shared" si="12"/>
        <v>11329.499469419794</v>
      </c>
      <c r="M78" s="13"/>
      <c r="N78" s="13"/>
    </row>
    <row r="79" spans="5:14" x14ac:dyDescent="0.3">
      <c r="E79" s="15">
        <f t="shared" si="13"/>
        <v>7</v>
      </c>
      <c r="F79" s="15" t="s">
        <v>32</v>
      </c>
      <c r="G79" s="15">
        <f t="shared" si="9"/>
        <v>77</v>
      </c>
      <c r="H79" s="10">
        <f t="shared" si="14"/>
        <v>201.1904855407102</v>
      </c>
      <c r="I79" s="10">
        <f t="shared" si="15"/>
        <v>45.987902323011838</v>
      </c>
      <c r="J79" s="10">
        <f t="shared" si="10"/>
        <v>155.20258321769836</v>
      </c>
      <c r="K79" s="10">
        <f t="shared" si="11"/>
        <v>39515.297947362502</v>
      </c>
      <c r="L79" s="10">
        <f t="shared" si="12"/>
        <v>11484.702052637493</v>
      </c>
      <c r="M79" s="13"/>
      <c r="N79" s="13"/>
    </row>
    <row r="80" spans="5:14" x14ac:dyDescent="0.3">
      <c r="E80" s="15">
        <f t="shared" si="13"/>
        <v>7</v>
      </c>
      <c r="F80" s="15" t="s">
        <v>33</v>
      </c>
      <c r="G80" s="15">
        <f t="shared" si="9"/>
        <v>78</v>
      </c>
      <c r="H80" s="10">
        <f t="shared" si="14"/>
        <v>201.1904855407102</v>
      </c>
      <c r="I80" s="10">
        <f t="shared" si="15"/>
        <v>45.807984219084901</v>
      </c>
      <c r="J80" s="10">
        <f t="shared" si="10"/>
        <v>155.38250132162528</v>
      </c>
      <c r="K80" s="10">
        <f t="shared" si="11"/>
        <v>39359.915446040875</v>
      </c>
      <c r="L80" s="10">
        <f t="shared" si="12"/>
        <v>11640.084553959117</v>
      </c>
      <c r="M80" s="13"/>
      <c r="N80" s="13"/>
    </row>
    <row r="81" spans="5:14" x14ac:dyDescent="0.3">
      <c r="E81" s="15">
        <f t="shared" si="13"/>
        <v>7</v>
      </c>
      <c r="F81" s="15" t="s">
        <v>34</v>
      </c>
      <c r="G81" s="15">
        <f t="shared" si="9"/>
        <v>79</v>
      </c>
      <c r="H81" s="10">
        <f t="shared" si="14"/>
        <v>201.19048554071017</v>
      </c>
      <c r="I81" s="10">
        <f t="shared" si="15"/>
        <v>45.627857545664789</v>
      </c>
      <c r="J81" s="10">
        <f t="shared" si="10"/>
        <v>155.56262799504537</v>
      </c>
      <c r="K81" s="10">
        <f t="shared" si="11"/>
        <v>39204.352818045831</v>
      </c>
      <c r="L81" s="10">
        <f t="shared" si="12"/>
        <v>11795.647181954162</v>
      </c>
      <c r="M81" s="13"/>
      <c r="N81" s="13"/>
    </row>
    <row r="82" spans="5:14" x14ac:dyDescent="0.3">
      <c r="E82" s="15">
        <f t="shared" si="13"/>
        <v>7</v>
      </c>
      <c r="F82" s="15" t="s">
        <v>35</v>
      </c>
      <c r="G82" s="15">
        <f t="shared" si="9"/>
        <v>80</v>
      </c>
      <c r="H82" s="10">
        <f t="shared" si="14"/>
        <v>201.19048554071023</v>
      </c>
      <c r="I82" s="10">
        <f t="shared" si="15"/>
        <v>45.447522060967984</v>
      </c>
      <c r="J82" s="10">
        <f t="shared" si="10"/>
        <v>155.74296347974223</v>
      </c>
      <c r="K82" s="10">
        <f t="shared" si="11"/>
        <v>39048.609854566086</v>
      </c>
      <c r="L82" s="10">
        <f t="shared" si="12"/>
        <v>11951.390145433905</v>
      </c>
      <c r="M82" s="13"/>
      <c r="N82" s="13"/>
    </row>
    <row r="83" spans="5:14" x14ac:dyDescent="0.3">
      <c r="E83" s="15">
        <f t="shared" si="13"/>
        <v>7</v>
      </c>
      <c r="F83" s="15" t="s">
        <v>36</v>
      </c>
      <c r="G83" s="15">
        <f t="shared" si="9"/>
        <v>81</v>
      </c>
      <c r="H83" s="10">
        <f t="shared" si="14"/>
        <v>201.19048554071017</v>
      </c>
      <c r="I83" s="10">
        <f t="shared" si="15"/>
        <v>45.266977522930659</v>
      </c>
      <c r="J83" s="10">
        <f t="shared" si="10"/>
        <v>155.92350801777951</v>
      </c>
      <c r="K83" s="10">
        <f t="shared" si="11"/>
        <v>38892.686346548304</v>
      </c>
      <c r="L83" s="10">
        <f t="shared" si="12"/>
        <v>12107.313653451683</v>
      </c>
      <c r="M83" s="13"/>
      <c r="N83" s="13"/>
    </row>
    <row r="84" spans="5:14" x14ac:dyDescent="0.3">
      <c r="E84" s="15">
        <f t="shared" si="13"/>
        <v>7</v>
      </c>
      <c r="F84" s="15" t="s">
        <v>37</v>
      </c>
      <c r="G84" s="15">
        <f t="shared" si="9"/>
        <v>82</v>
      </c>
      <c r="H84" s="10">
        <f t="shared" si="14"/>
        <v>201.19048554071014</v>
      </c>
      <c r="I84" s="10">
        <f t="shared" si="15"/>
        <v>45.08622368920841</v>
      </c>
      <c r="J84" s="10">
        <f t="shared" si="10"/>
        <v>156.10426185150175</v>
      </c>
      <c r="K84" s="10">
        <f t="shared" si="11"/>
        <v>38736.582084696805</v>
      </c>
      <c r="L84" s="10">
        <f t="shared" si="12"/>
        <v>12263.417915303186</v>
      </c>
      <c r="M84" s="13"/>
      <c r="N84" s="13"/>
    </row>
    <row r="85" spans="5:14" x14ac:dyDescent="0.3">
      <c r="E85" s="15">
        <f t="shared" si="13"/>
        <v>7</v>
      </c>
      <c r="F85" s="15" t="s">
        <v>38</v>
      </c>
      <c r="G85" s="15">
        <f t="shared" si="9"/>
        <v>83</v>
      </c>
      <c r="H85" s="10">
        <f t="shared" si="14"/>
        <v>201.1904855407102</v>
      </c>
      <c r="I85" s="10">
        <f t="shared" si="15"/>
        <v>44.905260317175866</v>
      </c>
      <c r="J85" s="10">
        <f t="shared" si="10"/>
        <v>156.28522522353433</v>
      </c>
      <c r="K85" s="10">
        <f t="shared" si="11"/>
        <v>38580.296859473274</v>
      </c>
      <c r="L85" s="10">
        <f t="shared" si="12"/>
        <v>12419.703140526719</v>
      </c>
      <c r="M85" s="13"/>
      <c r="N85" s="13"/>
    </row>
    <row r="86" spans="5:14" x14ac:dyDescent="0.3">
      <c r="E86" s="15">
        <f t="shared" si="13"/>
        <v>7</v>
      </c>
      <c r="F86" s="15" t="s">
        <v>27</v>
      </c>
      <c r="G86" s="15">
        <f t="shared" si="9"/>
        <v>84</v>
      </c>
      <c r="H86" s="10">
        <f t="shared" si="14"/>
        <v>201.1904855407102</v>
      </c>
      <c r="I86" s="10">
        <f t="shared" si="15"/>
        <v>44.724087163926406</v>
      </c>
      <c r="J86" s="10">
        <f t="shared" si="10"/>
        <v>156.46639837678379</v>
      </c>
      <c r="K86" s="10">
        <f t="shared" si="11"/>
        <v>38423.830461096491</v>
      </c>
      <c r="L86" s="10">
        <f t="shared" si="12"/>
        <v>12576.169538903503</v>
      </c>
      <c r="M86" s="13"/>
      <c r="N86" s="13"/>
    </row>
    <row r="87" spans="5:14" x14ac:dyDescent="0.3">
      <c r="E87" s="15">
        <f t="shared" si="13"/>
        <v>8</v>
      </c>
      <c r="F87" s="15" t="s">
        <v>28</v>
      </c>
      <c r="G87" s="15">
        <f t="shared" si="9"/>
        <v>85</v>
      </c>
      <c r="H87" s="10">
        <f t="shared" si="14"/>
        <v>201.1904855407102</v>
      </c>
      <c r="I87" s="10">
        <f t="shared" si="15"/>
        <v>44.54270398627181</v>
      </c>
      <c r="J87" s="10">
        <f t="shared" si="10"/>
        <v>156.64778155443838</v>
      </c>
      <c r="K87" s="10">
        <f t="shared" si="11"/>
        <v>38267.182679542057</v>
      </c>
      <c r="L87" s="10">
        <f t="shared" si="12"/>
        <v>12732.817320457942</v>
      </c>
      <c r="M87" s="13"/>
      <c r="N87" s="13"/>
    </row>
    <row r="88" spans="5:14" x14ac:dyDescent="0.3">
      <c r="E88" s="15">
        <f t="shared" si="13"/>
        <v>8</v>
      </c>
      <c r="F88" s="15" t="s">
        <v>29</v>
      </c>
      <c r="G88" s="15">
        <f t="shared" si="9"/>
        <v>86</v>
      </c>
      <c r="H88" s="10">
        <f t="shared" si="14"/>
        <v>201.1904855407102</v>
      </c>
      <c r="I88" s="10">
        <f t="shared" si="15"/>
        <v>44.361110540741954</v>
      </c>
      <c r="J88" s="10">
        <f t="shared" si="10"/>
        <v>156.82937499996825</v>
      </c>
      <c r="K88" s="10">
        <f t="shared" si="11"/>
        <v>38110.353304542092</v>
      </c>
      <c r="L88" s="10">
        <f t="shared" si="12"/>
        <v>12889.64669545791</v>
      </c>
      <c r="M88" s="13"/>
      <c r="N88" s="13"/>
    </row>
    <row r="89" spans="5:14" x14ac:dyDescent="0.3">
      <c r="E89" s="15">
        <f t="shared" si="13"/>
        <v>8</v>
      </c>
      <c r="F89" s="15" t="s">
        <v>30</v>
      </c>
      <c r="G89" s="15">
        <f t="shared" si="9"/>
        <v>87</v>
      </c>
      <c r="H89" s="10">
        <f t="shared" si="14"/>
        <v>201.19048554071028</v>
      </c>
      <c r="I89" s="10">
        <f t="shared" si="15"/>
        <v>44.179306583584477</v>
      </c>
      <c r="J89" s="10">
        <f t="shared" si="10"/>
        <v>157.01117895712582</v>
      </c>
      <c r="K89" s="10">
        <f t="shared" si="11"/>
        <v>37953.342125584968</v>
      </c>
      <c r="L89" s="10">
        <f t="shared" si="12"/>
        <v>13046.657874415036</v>
      </c>
      <c r="M89" s="13"/>
      <c r="N89" s="13"/>
    </row>
    <row r="90" spans="5:14" x14ac:dyDescent="0.3">
      <c r="E90" s="15">
        <f t="shared" si="13"/>
        <v>8</v>
      </c>
      <c r="F90" s="15" t="s">
        <v>31</v>
      </c>
      <c r="G90" s="15">
        <f t="shared" si="9"/>
        <v>88</v>
      </c>
      <c r="H90" s="10">
        <f t="shared" si="14"/>
        <v>201.19048554071028</v>
      </c>
      <c r="I90" s="10">
        <f t="shared" si="15"/>
        <v>43.997291870764428</v>
      </c>
      <c r="J90" s="10">
        <f t="shared" si="10"/>
        <v>157.19319366994586</v>
      </c>
      <c r="K90" s="10">
        <f t="shared" si="11"/>
        <v>37796.148931915021</v>
      </c>
      <c r="L90" s="10">
        <f t="shared" si="12"/>
        <v>13203.851068084981</v>
      </c>
      <c r="M90" s="13"/>
      <c r="N90" s="13"/>
    </row>
    <row r="91" spans="5:14" x14ac:dyDescent="0.3">
      <c r="E91" s="15">
        <f t="shared" si="13"/>
        <v>8</v>
      </c>
      <c r="F91" s="15" t="s">
        <v>32</v>
      </c>
      <c r="G91" s="15">
        <f t="shared" si="9"/>
        <v>89</v>
      </c>
      <c r="H91" s="10">
        <f t="shared" si="14"/>
        <v>201.19048554071028</v>
      </c>
      <c r="I91" s="10">
        <f t="shared" si="15"/>
        <v>43.815066157963976</v>
      </c>
      <c r="J91" s="10">
        <f t="shared" si="10"/>
        <v>157.37541938274632</v>
      </c>
      <c r="K91" s="10">
        <f t="shared" si="11"/>
        <v>37638.773512532272</v>
      </c>
      <c r="L91" s="10">
        <f t="shared" si="12"/>
        <v>13361.226487467728</v>
      </c>
      <c r="M91" s="13"/>
      <c r="N91" s="13"/>
    </row>
    <row r="92" spans="5:14" x14ac:dyDescent="0.3">
      <c r="E92" s="15">
        <f t="shared" si="13"/>
        <v>8</v>
      </c>
      <c r="F92" s="15" t="s">
        <v>33</v>
      </c>
      <c r="G92" s="15">
        <f t="shared" si="9"/>
        <v>90</v>
      </c>
      <c r="H92" s="10">
        <f t="shared" si="14"/>
        <v>201.19048554071028</v>
      </c>
      <c r="I92" s="10">
        <f t="shared" si="15"/>
        <v>43.632629200582052</v>
      </c>
      <c r="J92" s="10">
        <f t="shared" si="10"/>
        <v>157.55785634012824</v>
      </c>
      <c r="K92" s="10">
        <f t="shared" si="11"/>
        <v>37481.215656192144</v>
      </c>
      <c r="L92" s="10">
        <f t="shared" si="12"/>
        <v>13518.784343807856</v>
      </c>
      <c r="M92" s="13"/>
      <c r="N92" s="13"/>
    </row>
    <row r="93" spans="5:14" x14ac:dyDescent="0.3">
      <c r="E93" s="15">
        <f t="shared" si="13"/>
        <v>8</v>
      </c>
      <c r="F93" s="15" t="s">
        <v>34</v>
      </c>
      <c r="G93" s="15">
        <f t="shared" si="9"/>
        <v>91</v>
      </c>
      <c r="H93" s="10">
        <f t="shared" si="14"/>
        <v>201.19048554071028</v>
      </c>
      <c r="I93" s="10">
        <f t="shared" si="15"/>
        <v>43.44998075373406</v>
      </c>
      <c r="J93" s="10">
        <f t="shared" si="10"/>
        <v>157.74050478697623</v>
      </c>
      <c r="K93" s="10">
        <f t="shared" si="11"/>
        <v>37323.475151405168</v>
      </c>
      <c r="L93" s="10">
        <f t="shared" si="12"/>
        <v>13676.524848594832</v>
      </c>
      <c r="M93" s="13"/>
      <c r="N93" s="13"/>
    </row>
    <row r="94" spans="5:14" x14ac:dyDescent="0.3">
      <c r="E94" s="15">
        <f t="shared" si="13"/>
        <v>8</v>
      </c>
      <c r="F94" s="15" t="s">
        <v>35</v>
      </c>
      <c r="G94" s="15">
        <f t="shared" si="9"/>
        <v>92</v>
      </c>
      <c r="H94" s="10">
        <f t="shared" si="14"/>
        <v>201.19048554071023</v>
      </c>
      <c r="I94" s="10">
        <f t="shared" si="15"/>
        <v>43.2671205722515</v>
      </c>
      <c r="J94" s="10">
        <f t="shared" si="10"/>
        <v>157.92336496845871</v>
      </c>
      <c r="K94" s="10">
        <f t="shared" si="11"/>
        <v>37165.551786436707</v>
      </c>
      <c r="L94" s="10">
        <f t="shared" si="12"/>
        <v>13834.448213563292</v>
      </c>
      <c r="M94" s="13"/>
      <c r="N94" s="13"/>
    </row>
    <row r="95" spans="5:14" x14ac:dyDescent="0.3">
      <c r="E95" s="15">
        <f t="shared" si="13"/>
        <v>8</v>
      </c>
      <c r="F95" s="15" t="s">
        <v>36</v>
      </c>
      <c r="G95" s="15">
        <f t="shared" si="9"/>
        <v>93</v>
      </c>
      <c r="H95" s="10">
        <f t="shared" si="14"/>
        <v>201.1904855407102</v>
      </c>
      <c r="I95" s="10">
        <f t="shared" si="15"/>
        <v>43.084048410681653</v>
      </c>
      <c r="J95" s="10">
        <f t="shared" si="10"/>
        <v>158.10643713002855</v>
      </c>
      <c r="K95" s="10">
        <f t="shared" si="11"/>
        <v>37007.445349306676</v>
      </c>
      <c r="L95" s="10">
        <f t="shared" si="12"/>
        <v>13992.554650693321</v>
      </c>
      <c r="M95" s="13"/>
      <c r="N95" s="13"/>
    </row>
    <row r="96" spans="5:14" x14ac:dyDescent="0.3">
      <c r="E96" s="15">
        <f t="shared" si="13"/>
        <v>8</v>
      </c>
      <c r="F96" s="15" t="s">
        <v>37</v>
      </c>
      <c r="G96" s="15">
        <f t="shared" si="9"/>
        <v>94</v>
      </c>
      <c r="H96" s="10">
        <f t="shared" si="14"/>
        <v>201.19048554071023</v>
      </c>
      <c r="I96" s="10">
        <f t="shared" si="15"/>
        <v>42.900764023287287</v>
      </c>
      <c r="J96" s="10">
        <f t="shared" si="10"/>
        <v>158.28972151742295</v>
      </c>
      <c r="K96" s="10">
        <f t="shared" si="11"/>
        <v>36849.155627789252</v>
      </c>
      <c r="L96" s="10">
        <f t="shared" si="12"/>
        <v>14150.844372210744</v>
      </c>
      <c r="M96" s="13"/>
      <c r="N96" s="13"/>
    </row>
    <row r="97" spans="5:14" x14ac:dyDescent="0.3">
      <c r="E97" s="15">
        <f t="shared" si="13"/>
        <v>8</v>
      </c>
      <c r="F97" s="15" t="s">
        <v>38</v>
      </c>
      <c r="G97" s="15">
        <f t="shared" si="9"/>
        <v>95</v>
      </c>
      <c r="H97" s="10">
        <f t="shared" si="14"/>
        <v>201.1904855407102</v>
      </c>
      <c r="I97" s="10">
        <f t="shared" si="15"/>
        <v>42.717267164046284</v>
      </c>
      <c r="J97" s="10">
        <f t="shared" si="10"/>
        <v>158.47321837666391</v>
      </c>
      <c r="K97" s="10">
        <f t="shared" si="11"/>
        <v>36690.682409412591</v>
      </c>
      <c r="L97" s="10">
        <f t="shared" si="12"/>
        <v>14309.317590587409</v>
      </c>
      <c r="M97" s="13"/>
      <c r="N97" s="13"/>
    </row>
    <row r="98" spans="5:14" x14ac:dyDescent="0.3">
      <c r="E98" s="15">
        <f t="shared" si="13"/>
        <v>8</v>
      </c>
      <c r="F98" s="15" t="s">
        <v>27</v>
      </c>
      <c r="G98" s="15">
        <f t="shared" si="9"/>
        <v>96</v>
      </c>
      <c r="H98" s="10">
        <f t="shared" si="14"/>
        <v>201.19048554071023</v>
      </c>
      <c r="I98" s="10">
        <f t="shared" si="15"/>
        <v>42.533557586651327</v>
      </c>
      <c r="J98" s="10">
        <f t="shared" si="10"/>
        <v>158.65692795405892</v>
      </c>
      <c r="K98" s="10">
        <f t="shared" si="11"/>
        <v>36532.025481458535</v>
      </c>
      <c r="L98" s="10">
        <f t="shared" si="12"/>
        <v>14467.974518541467</v>
      </c>
      <c r="M98" s="13"/>
      <c r="N98" s="13"/>
    </row>
    <row r="99" spans="5:14" x14ac:dyDescent="0.3">
      <c r="E99" s="15">
        <f t="shared" si="13"/>
        <v>9</v>
      </c>
      <c r="F99" s="15" t="s">
        <v>28</v>
      </c>
      <c r="G99" s="15">
        <f t="shared" si="9"/>
        <v>97</v>
      </c>
      <c r="H99" s="10">
        <f t="shared" si="14"/>
        <v>201.19048554071023</v>
      </c>
      <c r="I99" s="10">
        <f t="shared" si="15"/>
        <v>42.349635044509569</v>
      </c>
      <c r="J99" s="10">
        <f t="shared" si="10"/>
        <v>158.84085049620066</v>
      </c>
      <c r="K99" s="10">
        <f t="shared" si="11"/>
        <v>36373.184630962336</v>
      </c>
      <c r="L99" s="10">
        <f t="shared" si="12"/>
        <v>14626.815369037668</v>
      </c>
      <c r="M99" s="13"/>
      <c r="N99" s="13"/>
    </row>
    <row r="100" spans="5:14" x14ac:dyDescent="0.3">
      <c r="E100" s="15">
        <f t="shared" si="13"/>
        <v>9</v>
      </c>
      <c r="F100" s="15" t="s">
        <v>29</v>
      </c>
      <c r="G100" s="15">
        <f t="shared" si="9"/>
        <v>98</v>
      </c>
      <c r="H100" s="10">
        <f t="shared" si="14"/>
        <v>201.19048554071028</v>
      </c>
      <c r="I100" s="10">
        <f t="shared" si="15"/>
        <v>42.165499290742304</v>
      </c>
      <c r="J100" s="10">
        <f t="shared" si="10"/>
        <v>159.02498624996798</v>
      </c>
      <c r="K100" s="10">
        <f t="shared" si="11"/>
        <v>36214.159644712367</v>
      </c>
      <c r="L100" s="10">
        <f t="shared" si="12"/>
        <v>14785.840355287635</v>
      </c>
      <c r="M100" s="13"/>
      <c r="N100" s="13"/>
    </row>
    <row r="101" spans="5:14" x14ac:dyDescent="0.3">
      <c r="E101" s="15">
        <f t="shared" si="13"/>
        <v>9</v>
      </c>
      <c r="F101" s="15" t="s">
        <v>30</v>
      </c>
      <c r="G101" s="15">
        <f t="shared" si="9"/>
        <v>99</v>
      </c>
      <c r="H101" s="10">
        <f t="shared" si="14"/>
        <v>201.19048554071028</v>
      </c>
      <c r="I101" s="10">
        <f t="shared" si="15"/>
        <v>41.981150078184612</v>
      </c>
      <c r="J101" s="10">
        <f t="shared" si="10"/>
        <v>159.20933546252567</v>
      </c>
      <c r="K101" s="10">
        <f t="shared" si="11"/>
        <v>36054.950309249842</v>
      </c>
      <c r="L101" s="10">
        <f t="shared" si="12"/>
        <v>14945.04969075016</v>
      </c>
      <c r="M101" s="13"/>
      <c r="N101" s="13"/>
    </row>
    <row r="102" spans="5:14" x14ac:dyDescent="0.3">
      <c r="E102" s="15">
        <f t="shared" si="13"/>
        <v>9</v>
      </c>
      <c r="F102" s="15" t="s">
        <v>31</v>
      </c>
      <c r="G102" s="15">
        <f t="shared" si="9"/>
        <v>100</v>
      </c>
      <c r="H102" s="10">
        <f t="shared" si="14"/>
        <v>201.19048554071028</v>
      </c>
      <c r="I102" s="10">
        <f t="shared" si="15"/>
        <v>41.796587159385076</v>
      </c>
      <c r="J102" s="10">
        <f t="shared" si="10"/>
        <v>159.39389838132522</v>
      </c>
      <c r="K102" s="10">
        <f t="shared" si="11"/>
        <v>35895.556410868514</v>
      </c>
      <c r="L102" s="10">
        <f t="shared" si="12"/>
        <v>15104.443589131486</v>
      </c>
      <c r="M102" s="13"/>
      <c r="N102" s="13"/>
    </row>
    <row r="103" spans="5:14" x14ac:dyDescent="0.3">
      <c r="E103" s="15">
        <f t="shared" si="13"/>
        <v>9</v>
      </c>
      <c r="F103" s="15" t="s">
        <v>32</v>
      </c>
      <c r="G103" s="15">
        <f t="shared" si="9"/>
        <v>101</v>
      </c>
      <c r="H103" s="10">
        <f t="shared" si="14"/>
        <v>201.19048554071023</v>
      </c>
      <c r="I103" s="10">
        <f t="shared" si="15"/>
        <v>41.611810286605419</v>
      </c>
      <c r="J103" s="10">
        <f t="shared" si="10"/>
        <v>159.57867525410481</v>
      </c>
      <c r="K103" s="10">
        <f t="shared" si="11"/>
        <v>35735.977735614411</v>
      </c>
      <c r="L103" s="10">
        <f t="shared" si="12"/>
        <v>15264.02226438559</v>
      </c>
      <c r="M103" s="13"/>
      <c r="N103" s="13"/>
    </row>
    <row r="104" spans="5:14" x14ac:dyDescent="0.3">
      <c r="E104" s="15">
        <f t="shared" si="13"/>
        <v>9</v>
      </c>
      <c r="F104" s="15" t="s">
        <v>33</v>
      </c>
      <c r="G104" s="15">
        <f t="shared" si="9"/>
        <v>102</v>
      </c>
      <c r="H104" s="10">
        <f t="shared" si="14"/>
        <v>201.19048554071023</v>
      </c>
      <c r="I104" s="10">
        <f t="shared" si="15"/>
        <v>41.426819211820153</v>
      </c>
      <c r="J104" s="10">
        <f t="shared" si="10"/>
        <v>159.76366632889008</v>
      </c>
      <c r="K104" s="10">
        <f t="shared" si="11"/>
        <v>35576.214069285525</v>
      </c>
      <c r="L104" s="10">
        <f t="shared" si="12"/>
        <v>15423.785930714481</v>
      </c>
      <c r="M104" s="13"/>
      <c r="N104" s="13"/>
    </row>
    <row r="105" spans="5:14" x14ac:dyDescent="0.3">
      <c r="E105" s="15">
        <f t="shared" si="13"/>
        <v>9</v>
      </c>
      <c r="F105" s="15" t="s">
        <v>34</v>
      </c>
      <c r="G105" s="15">
        <f t="shared" si="9"/>
        <v>103</v>
      </c>
      <c r="H105" s="10">
        <f t="shared" si="14"/>
        <v>201.19048554071028</v>
      </c>
      <c r="I105" s="10">
        <f t="shared" si="15"/>
        <v>41.241613686716292</v>
      </c>
      <c r="J105" s="10">
        <f t="shared" si="10"/>
        <v>159.94887185399398</v>
      </c>
      <c r="K105" s="10">
        <f t="shared" si="11"/>
        <v>35416.26519743153</v>
      </c>
      <c r="L105" s="10">
        <f t="shared" si="12"/>
        <v>15583.734802568475</v>
      </c>
      <c r="M105" s="13"/>
      <c r="N105" s="13"/>
    </row>
    <row r="106" spans="5:14" x14ac:dyDescent="0.3">
      <c r="E106" s="15">
        <f t="shared" si="13"/>
        <v>9</v>
      </c>
      <c r="F106" s="15" t="s">
        <v>35</v>
      </c>
      <c r="G106" s="15">
        <f t="shared" si="9"/>
        <v>104</v>
      </c>
      <c r="H106" s="10">
        <f t="shared" si="14"/>
        <v>201.19048554071028</v>
      </c>
      <c r="I106" s="10">
        <f t="shared" si="15"/>
        <v>41.056193462692974</v>
      </c>
      <c r="J106" s="10">
        <f t="shared" si="10"/>
        <v>160.13429207801732</v>
      </c>
      <c r="K106" s="10">
        <f t="shared" si="11"/>
        <v>35256.130905353515</v>
      </c>
      <c r="L106" s="10">
        <f t="shared" si="12"/>
        <v>15743.869094646492</v>
      </c>
      <c r="M106" s="13"/>
      <c r="N106" s="13"/>
    </row>
    <row r="107" spans="5:14" x14ac:dyDescent="0.3">
      <c r="E107" s="15">
        <f t="shared" si="13"/>
        <v>9</v>
      </c>
      <c r="F107" s="15" t="s">
        <v>36</v>
      </c>
      <c r="G107" s="15">
        <f t="shared" si="9"/>
        <v>105</v>
      </c>
      <c r="H107" s="10">
        <f t="shared" si="14"/>
        <v>201.19048554071028</v>
      </c>
      <c r="I107" s="10">
        <f t="shared" si="15"/>
        <v>40.870558290861155</v>
      </c>
      <c r="J107" s="10">
        <f t="shared" si="10"/>
        <v>160.31992724984912</v>
      </c>
      <c r="K107" s="10">
        <f t="shared" si="11"/>
        <v>35095.810978103669</v>
      </c>
      <c r="L107" s="10">
        <f t="shared" si="12"/>
        <v>15904.189021896342</v>
      </c>
      <c r="M107" s="13"/>
      <c r="N107" s="13"/>
    </row>
    <row r="108" spans="5:14" x14ac:dyDescent="0.3">
      <c r="E108" s="15">
        <f t="shared" si="13"/>
        <v>9</v>
      </c>
      <c r="F108" s="15" t="s">
        <v>37</v>
      </c>
      <c r="G108" s="15">
        <f t="shared" si="9"/>
        <v>106</v>
      </c>
      <c r="H108" s="10">
        <f t="shared" si="14"/>
        <v>201.19048554071031</v>
      </c>
      <c r="I108" s="10">
        <f t="shared" si="15"/>
        <v>40.684707922043273</v>
      </c>
      <c r="J108" s="10">
        <f t="shared" si="10"/>
        <v>160.50577761866703</v>
      </c>
      <c r="K108" s="10">
        <f t="shared" si="11"/>
        <v>34935.305200485003</v>
      </c>
      <c r="L108" s="10">
        <f t="shared" si="12"/>
        <v>16064.694799515009</v>
      </c>
      <c r="M108" s="13"/>
      <c r="N108" s="13"/>
    </row>
    <row r="109" spans="5:14" x14ac:dyDescent="0.3">
      <c r="E109" s="15">
        <f t="shared" si="13"/>
        <v>9</v>
      </c>
      <c r="F109" s="15" t="s">
        <v>38</v>
      </c>
      <c r="G109" s="15">
        <f t="shared" si="9"/>
        <v>107</v>
      </c>
      <c r="H109" s="10">
        <f t="shared" si="14"/>
        <v>201.19048554071031</v>
      </c>
      <c r="I109" s="10">
        <f t="shared" si="15"/>
        <v>40.498642106772898</v>
      </c>
      <c r="J109" s="10">
        <f t="shared" si="10"/>
        <v>160.69184343393741</v>
      </c>
      <c r="K109" s="10">
        <f t="shared" si="11"/>
        <v>34774.613357051065</v>
      </c>
      <c r="L109" s="10">
        <f t="shared" si="12"/>
        <v>16225.386642948946</v>
      </c>
      <c r="M109" s="13"/>
      <c r="N109" s="13"/>
    </row>
    <row r="110" spans="5:14" x14ac:dyDescent="0.3">
      <c r="E110" s="15">
        <f t="shared" si="13"/>
        <v>9</v>
      </c>
      <c r="F110" s="15" t="s">
        <v>27</v>
      </c>
      <c r="G110" s="15">
        <f t="shared" si="9"/>
        <v>108</v>
      </c>
      <c r="H110" s="10">
        <f t="shared" si="14"/>
        <v>201.19048554071028</v>
      </c>
      <c r="I110" s="10">
        <f t="shared" si="15"/>
        <v>40.312360595294415</v>
      </c>
      <c r="J110" s="10">
        <f t="shared" si="10"/>
        <v>160.87812494541586</v>
      </c>
      <c r="K110" s="10">
        <f t="shared" si="11"/>
        <v>34613.735232105646</v>
      </c>
      <c r="L110" s="10">
        <f t="shared" si="12"/>
        <v>16386.264767894361</v>
      </c>
      <c r="M110" s="13"/>
      <c r="N110" s="13"/>
    </row>
    <row r="111" spans="5:14" x14ac:dyDescent="0.3">
      <c r="E111" s="15">
        <f t="shared" si="13"/>
        <v>10</v>
      </c>
      <c r="F111" s="15" t="s">
        <v>28</v>
      </c>
      <c r="G111" s="15">
        <f t="shared" si="9"/>
        <v>109</v>
      </c>
      <c r="H111" s="10">
        <f t="shared" si="14"/>
        <v>201.19048554071028</v>
      </c>
      <c r="I111" s="10">
        <f t="shared" si="15"/>
        <v>40.125863137562661</v>
      </c>
      <c r="J111" s="10">
        <f t="shared" si="10"/>
        <v>161.06462240314761</v>
      </c>
      <c r="K111" s="10">
        <f t="shared" si="11"/>
        <v>34452.670609702502</v>
      </c>
      <c r="L111" s="10">
        <f t="shared" si="12"/>
        <v>16547.329390297509</v>
      </c>
      <c r="M111" s="13"/>
      <c r="N111" s="13"/>
    </row>
    <row r="112" spans="5:14" x14ac:dyDescent="0.3">
      <c r="E112" s="15">
        <f t="shared" si="13"/>
        <v>10</v>
      </c>
      <c r="F112" s="15" t="s">
        <v>29</v>
      </c>
      <c r="G112" s="15">
        <f t="shared" si="9"/>
        <v>110</v>
      </c>
      <c r="H112" s="10">
        <f t="shared" si="14"/>
        <v>201.19048554071028</v>
      </c>
      <c r="I112" s="10">
        <f t="shared" si="15"/>
        <v>39.939149483242652</v>
      </c>
      <c r="J112" s="10">
        <f t="shared" si="10"/>
        <v>161.25133605746763</v>
      </c>
      <c r="K112" s="10">
        <f t="shared" si="11"/>
        <v>34291.419273645035</v>
      </c>
      <c r="L112" s="10">
        <f t="shared" si="12"/>
        <v>16708.580726354976</v>
      </c>
      <c r="M112" s="13"/>
      <c r="N112" s="13"/>
    </row>
    <row r="113" spans="5:14" x14ac:dyDescent="0.3">
      <c r="E113" s="15">
        <f t="shared" si="13"/>
        <v>10</v>
      </c>
      <c r="F113" s="15" t="s">
        <v>30</v>
      </c>
      <c r="G113" s="15">
        <f t="shared" si="9"/>
        <v>111</v>
      </c>
      <c r="H113" s="10">
        <f t="shared" si="14"/>
        <v>201.19048554071031</v>
      </c>
      <c r="I113" s="10">
        <f t="shared" si="15"/>
        <v>39.752219381709153</v>
      </c>
      <c r="J113" s="10">
        <f t="shared" si="10"/>
        <v>161.43826615900116</v>
      </c>
      <c r="K113" s="10">
        <f t="shared" si="11"/>
        <v>34129.981007486036</v>
      </c>
      <c r="L113" s="10">
        <f t="shared" si="12"/>
        <v>16870.018992513978</v>
      </c>
      <c r="M113" s="13"/>
      <c r="N113" s="13"/>
    </row>
    <row r="114" spans="5:14" x14ac:dyDescent="0.3">
      <c r="E114" s="15">
        <f t="shared" si="13"/>
        <v>10</v>
      </c>
      <c r="F114" s="15" t="s">
        <v>31</v>
      </c>
      <c r="G114" s="15">
        <f t="shared" si="9"/>
        <v>112</v>
      </c>
      <c r="H114" s="10">
        <f t="shared" si="14"/>
        <v>201.19048554071031</v>
      </c>
      <c r="I114" s="10">
        <f t="shared" si="15"/>
        <v>39.565072582046433</v>
      </c>
      <c r="J114" s="10">
        <f t="shared" si="10"/>
        <v>161.62541295866387</v>
      </c>
      <c r="K114" s="10">
        <f t="shared" si="11"/>
        <v>33968.355594527369</v>
      </c>
      <c r="L114" s="10">
        <f t="shared" si="12"/>
        <v>17031.644405472642</v>
      </c>
      <c r="M114" s="13"/>
      <c r="N114" s="13"/>
    </row>
    <row r="115" spans="5:14" x14ac:dyDescent="0.3">
      <c r="E115" s="15">
        <f t="shared" si="13"/>
        <v>10</v>
      </c>
      <c r="F115" s="15" t="s">
        <v>32</v>
      </c>
      <c r="G115" s="15">
        <f t="shared" si="9"/>
        <v>113</v>
      </c>
      <c r="H115" s="10">
        <f t="shared" si="14"/>
        <v>201.19048554071031</v>
      </c>
      <c r="I115" s="10">
        <f t="shared" si="15"/>
        <v>39.377708833047855</v>
      </c>
      <c r="J115" s="10">
        <f t="shared" si="10"/>
        <v>161.81277670766247</v>
      </c>
      <c r="K115" s="10">
        <f t="shared" si="11"/>
        <v>33806.542817819703</v>
      </c>
      <c r="L115" s="10">
        <f t="shared" si="12"/>
        <v>17193.457182180304</v>
      </c>
      <c r="M115" s="13"/>
      <c r="N115" s="13"/>
    </row>
    <row r="116" spans="5:14" x14ac:dyDescent="0.3">
      <c r="E116" s="15">
        <f t="shared" si="13"/>
        <v>10</v>
      </c>
      <c r="F116" s="15" t="s">
        <v>33</v>
      </c>
      <c r="G116" s="15">
        <f t="shared" si="9"/>
        <v>114</v>
      </c>
      <c r="H116" s="10">
        <f t="shared" si="14"/>
        <v>201.19048554071031</v>
      </c>
      <c r="I116" s="10">
        <f t="shared" si="15"/>
        <v>39.190127883215595</v>
      </c>
      <c r="J116" s="10">
        <f t="shared" si="10"/>
        <v>162.0003576574947</v>
      </c>
      <c r="K116" s="10">
        <f t="shared" si="11"/>
        <v>33644.542460162207</v>
      </c>
      <c r="L116" s="10">
        <f t="shared" si="12"/>
        <v>17355.4575398378</v>
      </c>
      <c r="M116" s="13"/>
      <c r="N116" s="13"/>
    </row>
    <row r="117" spans="5:14" x14ac:dyDescent="0.3">
      <c r="E117" s="15">
        <f t="shared" si="13"/>
        <v>10</v>
      </c>
      <c r="F117" s="15" t="s">
        <v>34</v>
      </c>
      <c r="G117" s="15">
        <f t="shared" si="9"/>
        <v>115</v>
      </c>
      <c r="H117" s="10">
        <f t="shared" si="14"/>
        <v>201.19048554071028</v>
      </c>
      <c r="I117" s="10">
        <f t="shared" si="15"/>
        <v>39.002329480760274</v>
      </c>
      <c r="J117" s="10">
        <f t="shared" si="10"/>
        <v>162.18815605995002</v>
      </c>
      <c r="K117" s="10">
        <f t="shared" si="11"/>
        <v>33482.354304102257</v>
      </c>
      <c r="L117" s="10">
        <f t="shared" si="12"/>
        <v>17517.645695897751</v>
      </c>
      <c r="M117" s="13"/>
      <c r="N117" s="13"/>
    </row>
    <row r="118" spans="5:14" x14ac:dyDescent="0.3">
      <c r="E118" s="15">
        <f t="shared" si="13"/>
        <v>10</v>
      </c>
      <c r="F118" s="15" t="s">
        <v>35</v>
      </c>
      <c r="G118" s="15">
        <f t="shared" si="9"/>
        <v>116</v>
      </c>
      <c r="H118" s="10">
        <f t="shared" si="14"/>
        <v>201.19048554071028</v>
      </c>
      <c r="I118" s="10">
        <f t="shared" si="15"/>
        <v>38.814313373600626</v>
      </c>
      <c r="J118" s="10">
        <f t="shared" si="10"/>
        <v>162.37617216710964</v>
      </c>
      <c r="K118" s="10">
        <f t="shared" si="11"/>
        <v>33319.978131935146</v>
      </c>
      <c r="L118" s="10">
        <f t="shared" si="12"/>
        <v>17680.021868064861</v>
      </c>
      <c r="M118" s="13"/>
      <c r="N118" s="13"/>
    </row>
    <row r="119" spans="5:14" x14ac:dyDescent="0.3">
      <c r="E119" s="15">
        <f t="shared" si="13"/>
        <v>10</v>
      </c>
      <c r="F119" s="15" t="s">
        <v>36</v>
      </c>
      <c r="G119" s="15">
        <f t="shared" si="9"/>
        <v>117</v>
      </c>
      <c r="H119" s="10">
        <f t="shared" si="14"/>
        <v>201.19048554071028</v>
      </c>
      <c r="I119" s="10">
        <f t="shared" si="15"/>
        <v>38.626079309363156</v>
      </c>
      <c r="J119" s="10">
        <f t="shared" si="10"/>
        <v>162.56440623134714</v>
      </c>
      <c r="K119" s="10">
        <f t="shared" si="11"/>
        <v>33157.413725703802</v>
      </c>
      <c r="L119" s="10">
        <f t="shared" si="12"/>
        <v>17842.586274296209</v>
      </c>
      <c r="M119" s="13"/>
      <c r="N119" s="13"/>
    </row>
    <row r="120" spans="5:14" x14ac:dyDescent="0.3">
      <c r="E120" s="15">
        <f t="shared" si="13"/>
        <v>10</v>
      </c>
      <c r="F120" s="15" t="s">
        <v>37</v>
      </c>
      <c r="G120" s="15">
        <f t="shared" si="9"/>
        <v>118</v>
      </c>
      <c r="H120" s="10">
        <f t="shared" si="14"/>
        <v>201.19048554071028</v>
      </c>
      <c r="I120" s="10">
        <f t="shared" si="15"/>
        <v>38.43762703538183</v>
      </c>
      <c r="J120" s="10">
        <f t="shared" si="10"/>
        <v>162.75285850532845</v>
      </c>
      <c r="K120" s="10">
        <f t="shared" si="11"/>
        <v>32994.660867198472</v>
      </c>
      <c r="L120" s="10">
        <f t="shared" si="12"/>
        <v>18005.339132801539</v>
      </c>
      <c r="M120" s="13"/>
      <c r="N120" s="13"/>
    </row>
    <row r="121" spans="5:14" x14ac:dyDescent="0.3">
      <c r="E121" s="15">
        <f t="shared" si="13"/>
        <v>10</v>
      </c>
      <c r="F121" s="15" t="s">
        <v>38</v>
      </c>
      <c r="G121" s="15">
        <f t="shared" si="9"/>
        <v>119</v>
      </c>
      <c r="H121" s="10">
        <f t="shared" si="14"/>
        <v>201.19048554071028</v>
      </c>
      <c r="I121" s="10">
        <f t="shared" si="15"/>
        <v>38.248956298697664</v>
      </c>
      <c r="J121" s="10">
        <f t="shared" si="10"/>
        <v>162.94152924201262</v>
      </c>
      <c r="K121" s="10">
        <f t="shared" si="11"/>
        <v>32831.719337956456</v>
      </c>
      <c r="L121" s="10">
        <f t="shared" si="12"/>
        <v>18168.280662043551</v>
      </c>
      <c r="M121" s="13"/>
      <c r="N121" s="13"/>
    </row>
    <row r="122" spans="5:14" x14ac:dyDescent="0.3">
      <c r="E122" s="15">
        <f t="shared" si="13"/>
        <v>10</v>
      </c>
      <c r="F122" s="15" t="s">
        <v>27</v>
      </c>
      <c r="G122" s="15">
        <f t="shared" si="9"/>
        <v>120</v>
      </c>
      <c r="H122" s="10">
        <f t="shared" si="14"/>
        <v>201.19048554071023</v>
      </c>
      <c r="I122" s="10">
        <f t="shared" si="15"/>
        <v>38.060066846058476</v>
      </c>
      <c r="J122" s="10">
        <f t="shared" si="10"/>
        <v>163.13041869465175</v>
      </c>
      <c r="K122" s="10">
        <f t="shared" si="11"/>
        <v>32668.588919261805</v>
      </c>
      <c r="L122" s="10">
        <f t="shared" si="12"/>
        <v>18331.411080738202</v>
      </c>
      <c r="M122" s="13"/>
      <c r="N122" s="13"/>
    </row>
    <row r="123" spans="5:14" x14ac:dyDescent="0.3">
      <c r="E123" s="15">
        <f t="shared" si="13"/>
        <v>11</v>
      </c>
      <c r="F123" s="15" t="s">
        <v>28</v>
      </c>
      <c r="G123" s="15">
        <f t="shared" si="9"/>
        <v>121</v>
      </c>
      <c r="H123" s="10">
        <f t="shared" si="14"/>
        <v>201.19048554071023</v>
      </c>
      <c r="I123" s="10">
        <f t="shared" si="15"/>
        <v>37.870958423918481</v>
      </c>
      <c r="J123" s="10">
        <f t="shared" si="10"/>
        <v>163.31952711679173</v>
      </c>
      <c r="K123" s="10">
        <f t="shared" si="11"/>
        <v>32505.269392145012</v>
      </c>
      <c r="L123" s="10">
        <f t="shared" si="12"/>
        <v>18494.730607854995</v>
      </c>
      <c r="M123" s="13"/>
      <c r="N123" s="13"/>
    </row>
    <row r="124" spans="5:14" x14ac:dyDescent="0.3">
      <c r="E124" s="15">
        <f t="shared" si="13"/>
        <v>11</v>
      </c>
      <c r="F124" s="15" t="s">
        <v>29</v>
      </c>
      <c r="G124" s="15">
        <f t="shared" si="9"/>
        <v>122</v>
      </c>
      <c r="H124" s="10">
        <f t="shared" si="14"/>
        <v>201.19048554071023</v>
      </c>
      <c r="I124" s="10">
        <f t="shared" si="15"/>
        <v>37.681630778437984</v>
      </c>
      <c r="J124" s="10">
        <f t="shared" si="10"/>
        <v>163.50885476227225</v>
      </c>
      <c r="K124" s="10">
        <f t="shared" si="11"/>
        <v>32341.760537382739</v>
      </c>
      <c r="L124" s="10">
        <f t="shared" si="12"/>
        <v>18658.239462617268</v>
      </c>
      <c r="M124" s="13"/>
      <c r="N124" s="13"/>
    </row>
    <row r="125" spans="5:14" x14ac:dyDescent="0.3">
      <c r="E125" s="15">
        <f t="shared" si="13"/>
        <v>11</v>
      </c>
      <c r="F125" s="15" t="s">
        <v>30</v>
      </c>
      <c r="G125" s="15">
        <f t="shared" si="9"/>
        <v>123</v>
      </c>
      <c r="H125" s="10">
        <f t="shared" si="14"/>
        <v>201.19048554071023</v>
      </c>
      <c r="I125" s="10">
        <f t="shared" si="15"/>
        <v>37.492083655483022</v>
      </c>
      <c r="J125" s="10">
        <f t="shared" si="10"/>
        <v>163.69840188522721</v>
      </c>
      <c r="K125" s="10">
        <f t="shared" si="11"/>
        <v>32178.062135497512</v>
      </c>
      <c r="L125" s="10">
        <f t="shared" si="12"/>
        <v>18821.937864502495</v>
      </c>
      <c r="M125" s="13"/>
      <c r="N125" s="13"/>
    </row>
    <row r="126" spans="5:14" x14ac:dyDescent="0.3">
      <c r="E126" s="15">
        <f t="shared" si="13"/>
        <v>11</v>
      </c>
      <c r="F126" s="15" t="s">
        <v>31</v>
      </c>
      <c r="G126" s="15">
        <f t="shared" si="9"/>
        <v>124</v>
      </c>
      <c r="H126" s="10">
        <f t="shared" si="14"/>
        <v>201.19048554071023</v>
      </c>
      <c r="I126" s="10">
        <f t="shared" si="15"/>
        <v>37.302316800625015</v>
      </c>
      <c r="J126" s="10">
        <f t="shared" si="10"/>
        <v>163.88816874008521</v>
      </c>
      <c r="K126" s="10">
        <f t="shared" si="11"/>
        <v>32014.173966757426</v>
      </c>
      <c r="L126" s="10">
        <f t="shared" si="12"/>
        <v>18985.826033242582</v>
      </c>
      <c r="M126" s="13"/>
      <c r="N126" s="13"/>
    </row>
    <row r="127" spans="5:14" x14ac:dyDescent="0.3">
      <c r="E127" s="15">
        <f t="shared" si="13"/>
        <v>11</v>
      </c>
      <c r="F127" s="15" t="s">
        <v>32</v>
      </c>
      <c r="G127" s="15">
        <f t="shared" si="9"/>
        <v>125</v>
      </c>
      <c r="H127" s="10">
        <f t="shared" si="14"/>
        <v>201.19048554071023</v>
      </c>
      <c r="I127" s="10">
        <f t="shared" si="15"/>
        <v>37.11232995914046</v>
      </c>
      <c r="J127" s="10">
        <f t="shared" si="10"/>
        <v>164.07815558156977</v>
      </c>
      <c r="K127" s="10">
        <f t="shared" si="11"/>
        <v>31850.095811175855</v>
      </c>
      <c r="L127" s="10">
        <f t="shared" si="12"/>
        <v>19149.904188824152</v>
      </c>
      <c r="M127" s="13"/>
      <c r="N127" s="13"/>
    </row>
    <row r="128" spans="5:14" x14ac:dyDescent="0.3">
      <c r="E128" s="15">
        <f t="shared" si="13"/>
        <v>11</v>
      </c>
      <c r="F128" s="15" t="s">
        <v>33</v>
      </c>
      <c r="G128" s="15">
        <f t="shared" si="9"/>
        <v>126</v>
      </c>
      <c r="H128" s="10">
        <f t="shared" si="14"/>
        <v>201.19048554071023</v>
      </c>
      <c r="I128" s="10">
        <f t="shared" si="15"/>
        <v>36.922122876010548</v>
      </c>
      <c r="J128" s="10">
        <f t="shared" si="10"/>
        <v>164.26836266469968</v>
      </c>
      <c r="K128" s="10">
        <f t="shared" si="11"/>
        <v>31685.827448511154</v>
      </c>
      <c r="L128" s="10">
        <f t="shared" si="12"/>
        <v>19314.172551488853</v>
      </c>
      <c r="M128" s="13"/>
      <c r="N128" s="13"/>
    </row>
    <row r="129" spans="5:14" x14ac:dyDescent="0.3">
      <c r="E129" s="15">
        <f t="shared" si="13"/>
        <v>11</v>
      </c>
      <c r="F129" s="15" t="s">
        <v>34</v>
      </c>
      <c r="G129" s="15">
        <f t="shared" si="9"/>
        <v>127</v>
      </c>
      <c r="H129" s="10">
        <f t="shared" si="14"/>
        <v>201.19048554071023</v>
      </c>
      <c r="I129" s="10">
        <f t="shared" si="15"/>
        <v>36.731695295920858</v>
      </c>
      <c r="J129" s="10">
        <f t="shared" si="10"/>
        <v>164.45879024478938</v>
      </c>
      <c r="K129" s="10">
        <f t="shared" si="11"/>
        <v>31521.368658266365</v>
      </c>
      <c r="L129" s="10">
        <f t="shared" si="12"/>
        <v>19478.631341733642</v>
      </c>
      <c r="M129" s="13"/>
      <c r="N129" s="13"/>
    </row>
    <row r="130" spans="5:14" x14ac:dyDescent="0.3">
      <c r="E130" s="15">
        <f t="shared" si="13"/>
        <v>11</v>
      </c>
      <c r="F130" s="15" t="s">
        <v>35</v>
      </c>
      <c r="G130" s="15">
        <f t="shared" si="9"/>
        <v>128</v>
      </c>
      <c r="H130" s="10">
        <f t="shared" si="14"/>
        <v>201.19048554071023</v>
      </c>
      <c r="I130" s="10">
        <f t="shared" si="15"/>
        <v>36.541046963260975</v>
      </c>
      <c r="J130" s="10">
        <f t="shared" si="10"/>
        <v>164.64943857744925</v>
      </c>
      <c r="K130" s="10">
        <f t="shared" si="11"/>
        <v>31356.719219688915</v>
      </c>
      <c r="L130" s="10">
        <f t="shared" si="12"/>
        <v>19643.280780311092</v>
      </c>
      <c r="M130" s="13"/>
      <c r="N130" s="13"/>
    </row>
    <row r="131" spans="5:14" x14ac:dyDescent="0.3">
      <c r="E131" s="15">
        <f t="shared" si="13"/>
        <v>11</v>
      </c>
      <c r="F131" s="15" t="s">
        <v>36</v>
      </c>
      <c r="G131" s="15">
        <f t="shared" ref="G131:G194" si="16">IF(G130&gt;=$B$18,"",G130+1)</f>
        <v>129</v>
      </c>
      <c r="H131" s="10">
        <f t="shared" si="14"/>
        <v>201.1904855407102</v>
      </c>
      <c r="I131" s="10">
        <f t="shared" si="15"/>
        <v>36.350177622124185</v>
      </c>
      <c r="J131" s="10">
        <f t="shared" ref="J131:J194" si="17">IF(G131&lt;=$B$18,H131-I131,"")</f>
        <v>164.84030791858601</v>
      </c>
      <c r="K131" s="10">
        <f t="shared" ref="K131:K194" si="18">IF(G131&lt;=$B$18,K130-J131,"")</f>
        <v>31191.878911770331</v>
      </c>
      <c r="L131" s="10">
        <f t="shared" ref="L131:L194" si="19">IF(G131&lt;=$B$18,L130+J131,"")</f>
        <v>19808.121088229676</v>
      </c>
      <c r="M131" s="13"/>
      <c r="N131" s="13"/>
    </row>
    <row r="132" spans="5:14" x14ac:dyDescent="0.3">
      <c r="E132" s="15">
        <f t="shared" ref="E132:E195" si="20">IF(G131&gt;=$B$18,"",INT(G131/12)+1)</f>
        <v>11</v>
      </c>
      <c r="F132" s="15" t="s">
        <v>37</v>
      </c>
      <c r="G132" s="15">
        <f t="shared" si="16"/>
        <v>130</v>
      </c>
      <c r="H132" s="10">
        <f t="shared" si="14"/>
        <v>201.19048554071023</v>
      </c>
      <c r="I132" s="10">
        <f t="shared" si="15"/>
        <v>36.159087016307112</v>
      </c>
      <c r="J132" s="10">
        <f t="shared" si="17"/>
        <v>165.03139852440313</v>
      </c>
      <c r="K132" s="10">
        <f t="shared" si="18"/>
        <v>31026.847513245928</v>
      </c>
      <c r="L132" s="10">
        <f t="shared" si="19"/>
        <v>19973.152486754079</v>
      </c>
      <c r="M132" s="13"/>
      <c r="N132" s="13"/>
    </row>
    <row r="133" spans="5:14" x14ac:dyDescent="0.3">
      <c r="E133" s="15">
        <f t="shared" si="20"/>
        <v>11</v>
      </c>
      <c r="F133" s="15" t="s">
        <v>38</v>
      </c>
      <c r="G133" s="15">
        <f t="shared" si="16"/>
        <v>131</v>
      </c>
      <c r="H133" s="10">
        <f t="shared" si="14"/>
        <v>201.19048554071023</v>
      </c>
      <c r="I133" s="10">
        <f t="shared" si="15"/>
        <v>35.967774889309375</v>
      </c>
      <c r="J133" s="10">
        <f t="shared" si="17"/>
        <v>165.22271065140086</v>
      </c>
      <c r="K133" s="10">
        <f t="shared" si="18"/>
        <v>30861.624802594528</v>
      </c>
      <c r="L133" s="10">
        <f t="shared" si="19"/>
        <v>20138.375197405479</v>
      </c>
      <c r="M133" s="13"/>
      <c r="N133" s="13"/>
    </row>
    <row r="134" spans="5:14" x14ac:dyDescent="0.3">
      <c r="E134" s="15">
        <f t="shared" si="20"/>
        <v>11</v>
      </c>
      <c r="F134" s="15" t="s">
        <v>27</v>
      </c>
      <c r="G134" s="15">
        <f t="shared" si="16"/>
        <v>132</v>
      </c>
      <c r="H134" s="10">
        <f t="shared" si="14"/>
        <v>201.19048554071023</v>
      </c>
      <c r="I134" s="10">
        <f t="shared" si="15"/>
        <v>35.776240984333235</v>
      </c>
      <c r="J134" s="10">
        <f t="shared" si="17"/>
        <v>165.41424455637699</v>
      </c>
      <c r="K134" s="10">
        <f t="shared" si="18"/>
        <v>30696.21055803815</v>
      </c>
      <c r="L134" s="10">
        <f t="shared" si="19"/>
        <v>20303.789441961857</v>
      </c>
      <c r="M134" s="13"/>
      <c r="N134" s="13"/>
    </row>
    <row r="135" spans="5:14" x14ac:dyDescent="0.3">
      <c r="E135" s="15">
        <f t="shared" si="20"/>
        <v>12</v>
      </c>
      <c r="F135" s="15" t="s">
        <v>28</v>
      </c>
      <c r="G135" s="15">
        <f t="shared" si="16"/>
        <v>133</v>
      </c>
      <c r="H135" s="10">
        <f t="shared" si="14"/>
        <v>201.19048554071023</v>
      </c>
      <c r="I135" s="10">
        <f t="shared" si="15"/>
        <v>35.584485044283284</v>
      </c>
      <c r="J135" s="10">
        <f t="shared" si="17"/>
        <v>165.60600049642693</v>
      </c>
      <c r="K135" s="10">
        <f t="shared" si="18"/>
        <v>30530.604557541723</v>
      </c>
      <c r="L135" s="10">
        <f t="shared" si="19"/>
        <v>20469.395442458284</v>
      </c>
      <c r="M135" s="13"/>
      <c r="N135" s="13"/>
    </row>
    <row r="136" spans="5:14" x14ac:dyDescent="0.3">
      <c r="E136" s="15">
        <f t="shared" si="20"/>
        <v>12</v>
      </c>
      <c r="F136" s="15" t="s">
        <v>29</v>
      </c>
      <c r="G136" s="15">
        <f t="shared" si="16"/>
        <v>134</v>
      </c>
      <c r="H136" s="10">
        <f t="shared" si="14"/>
        <v>201.19048554071023</v>
      </c>
      <c r="I136" s="10">
        <f t="shared" si="15"/>
        <v>35.392506811766062</v>
      </c>
      <c r="J136" s="10">
        <f t="shared" si="17"/>
        <v>165.79797872894417</v>
      </c>
      <c r="K136" s="10">
        <f t="shared" si="18"/>
        <v>30364.806578812779</v>
      </c>
      <c r="L136" s="10">
        <f t="shared" si="19"/>
        <v>20635.193421187229</v>
      </c>
      <c r="M136" s="13"/>
      <c r="N136" s="13"/>
    </row>
    <row r="137" spans="5:14" x14ac:dyDescent="0.3">
      <c r="E137" s="15">
        <f t="shared" si="20"/>
        <v>12</v>
      </c>
      <c r="F137" s="15" t="s">
        <v>30</v>
      </c>
      <c r="G137" s="15">
        <f t="shared" si="16"/>
        <v>135</v>
      </c>
      <c r="H137" s="10">
        <f t="shared" si="14"/>
        <v>201.19048554071028</v>
      </c>
      <c r="I137" s="10">
        <f t="shared" si="15"/>
        <v>35.200306029089731</v>
      </c>
      <c r="J137" s="10">
        <f t="shared" si="17"/>
        <v>165.99017951162057</v>
      </c>
      <c r="K137" s="10">
        <f t="shared" si="18"/>
        <v>30198.816399301159</v>
      </c>
      <c r="L137" s="10">
        <f t="shared" si="19"/>
        <v>20801.183600698849</v>
      </c>
      <c r="M137" s="13"/>
      <c r="N137" s="13"/>
    </row>
    <row r="138" spans="5:14" x14ac:dyDescent="0.3">
      <c r="E138" s="15">
        <f t="shared" si="20"/>
        <v>12</v>
      </c>
      <c r="F138" s="15" t="s">
        <v>31</v>
      </c>
      <c r="G138" s="15">
        <f t="shared" si="16"/>
        <v>136</v>
      </c>
      <c r="H138" s="10">
        <f t="shared" si="14"/>
        <v>201.19048554071023</v>
      </c>
      <c r="I138" s="10">
        <f t="shared" si="15"/>
        <v>35.007882438263714</v>
      </c>
      <c r="J138" s="10">
        <f t="shared" si="17"/>
        <v>166.18260310244651</v>
      </c>
      <c r="K138" s="10">
        <f t="shared" si="18"/>
        <v>30032.633796198712</v>
      </c>
      <c r="L138" s="10">
        <f t="shared" si="19"/>
        <v>20967.366203801295</v>
      </c>
      <c r="M138" s="13"/>
      <c r="N138" s="13"/>
    </row>
    <row r="139" spans="5:14" x14ac:dyDescent="0.3">
      <c r="E139" s="15">
        <f t="shared" si="20"/>
        <v>12</v>
      </c>
      <c r="F139" s="15" t="s">
        <v>32</v>
      </c>
      <c r="G139" s="15">
        <f t="shared" si="16"/>
        <v>137</v>
      </c>
      <c r="H139" s="10">
        <f t="shared" si="14"/>
        <v>201.1904855407102</v>
      </c>
      <c r="I139" s="10">
        <f t="shared" si="15"/>
        <v>34.815235780998371</v>
      </c>
      <c r="J139" s="10">
        <f t="shared" si="17"/>
        <v>166.37524975971183</v>
      </c>
      <c r="K139" s="10">
        <f t="shared" si="18"/>
        <v>29866.258546438999</v>
      </c>
      <c r="L139" s="10">
        <f t="shared" si="19"/>
        <v>21133.741453561008</v>
      </c>
      <c r="M139" s="13"/>
      <c r="N139" s="13"/>
    </row>
    <row r="140" spans="5:14" x14ac:dyDescent="0.3">
      <c r="E140" s="15">
        <f t="shared" si="20"/>
        <v>12</v>
      </c>
      <c r="F140" s="15" t="s">
        <v>33</v>
      </c>
      <c r="G140" s="15">
        <f t="shared" si="16"/>
        <v>138</v>
      </c>
      <c r="H140" s="10">
        <f t="shared" ref="H140:H203" si="21">IF(G140&lt;=$B$18,PMT($B$11,$B$18-G139,-K139)+M140,"")</f>
        <v>201.19048554071023</v>
      </c>
      <c r="I140" s="10">
        <f t="shared" ref="I140:I203" si="22">IF(G140&lt;=$B$18,K139*$B$11,"")</f>
        <v>34.622365798704642</v>
      </c>
      <c r="J140" s="10">
        <f t="shared" si="17"/>
        <v>166.56811974200559</v>
      </c>
      <c r="K140" s="10">
        <f t="shared" si="18"/>
        <v>29699.690426696994</v>
      </c>
      <c r="L140" s="10">
        <f t="shared" si="19"/>
        <v>21300.309573303013</v>
      </c>
      <c r="M140" s="13"/>
      <c r="N140" s="13"/>
    </row>
    <row r="141" spans="5:14" x14ac:dyDescent="0.3">
      <c r="E141" s="15">
        <f t="shared" si="20"/>
        <v>12</v>
      </c>
      <c r="F141" s="15" t="s">
        <v>34</v>
      </c>
      <c r="G141" s="15">
        <f t="shared" si="16"/>
        <v>139</v>
      </c>
      <c r="H141" s="10">
        <f t="shared" si="21"/>
        <v>201.19048554071023</v>
      </c>
      <c r="I141" s="10">
        <f t="shared" si="22"/>
        <v>34.429272232493695</v>
      </c>
      <c r="J141" s="10">
        <f t="shared" si="17"/>
        <v>166.76121330821653</v>
      </c>
      <c r="K141" s="10">
        <f t="shared" si="18"/>
        <v>29532.929213388779</v>
      </c>
      <c r="L141" s="10">
        <f t="shared" si="19"/>
        <v>21467.070786611228</v>
      </c>
      <c r="M141" s="13"/>
      <c r="N141" s="13"/>
    </row>
    <row r="142" spans="5:14" x14ac:dyDescent="0.3">
      <c r="E142" s="15">
        <f t="shared" si="20"/>
        <v>12</v>
      </c>
      <c r="F142" s="15" t="s">
        <v>35</v>
      </c>
      <c r="G142" s="15">
        <f t="shared" si="16"/>
        <v>140</v>
      </c>
      <c r="H142" s="10">
        <f t="shared" si="21"/>
        <v>201.1904855407102</v>
      </c>
      <c r="I142" s="10">
        <f t="shared" si="22"/>
        <v>34.235954823176577</v>
      </c>
      <c r="J142" s="10">
        <f t="shared" si="17"/>
        <v>166.95453071753363</v>
      </c>
      <c r="K142" s="10">
        <f t="shared" si="18"/>
        <v>29365.974682671247</v>
      </c>
      <c r="L142" s="10">
        <f t="shared" si="19"/>
        <v>21634.02531732876</v>
      </c>
      <c r="M142" s="13"/>
      <c r="N142" s="13"/>
    </row>
    <row r="143" spans="5:14" x14ac:dyDescent="0.3">
      <c r="E143" s="15">
        <f t="shared" si="20"/>
        <v>12</v>
      </c>
      <c r="F143" s="15" t="s">
        <v>36</v>
      </c>
      <c r="G143" s="15">
        <f t="shared" si="16"/>
        <v>141</v>
      </c>
      <c r="H143" s="10">
        <f t="shared" si="21"/>
        <v>201.19048554071028</v>
      </c>
      <c r="I143" s="10">
        <f t="shared" si="22"/>
        <v>34.042413311263871</v>
      </c>
      <c r="J143" s="10">
        <f t="shared" si="17"/>
        <v>167.14807222944643</v>
      </c>
      <c r="K143" s="10">
        <f t="shared" si="18"/>
        <v>29198.8266104418</v>
      </c>
      <c r="L143" s="10">
        <f t="shared" si="19"/>
        <v>21801.173389558207</v>
      </c>
      <c r="M143" s="13"/>
      <c r="N143" s="13"/>
    </row>
    <row r="144" spans="5:14" x14ac:dyDescent="0.3">
      <c r="E144" s="15">
        <f t="shared" si="20"/>
        <v>12</v>
      </c>
      <c r="F144" s="15" t="s">
        <v>37</v>
      </c>
      <c r="G144" s="15">
        <f t="shared" si="16"/>
        <v>142</v>
      </c>
      <c r="H144" s="10">
        <f t="shared" si="21"/>
        <v>201.19048554071028</v>
      </c>
      <c r="I144" s="10">
        <f t="shared" si="22"/>
        <v>33.848647436965358</v>
      </c>
      <c r="J144" s="10">
        <f t="shared" si="17"/>
        <v>167.34183810374492</v>
      </c>
      <c r="K144" s="10">
        <f t="shared" si="18"/>
        <v>29031.484772338055</v>
      </c>
      <c r="L144" s="10">
        <f t="shared" si="19"/>
        <v>21968.515227661952</v>
      </c>
      <c r="M144" s="13"/>
      <c r="N144" s="13"/>
    </row>
    <row r="145" spans="5:14" x14ac:dyDescent="0.3">
      <c r="E145" s="15">
        <f t="shared" si="20"/>
        <v>12</v>
      </c>
      <c r="F145" s="15" t="s">
        <v>38</v>
      </c>
      <c r="G145" s="15">
        <f t="shared" si="16"/>
        <v>143</v>
      </c>
      <c r="H145" s="10">
        <f t="shared" si="21"/>
        <v>201.19048554071023</v>
      </c>
      <c r="I145" s="10">
        <f t="shared" si="22"/>
        <v>33.654656940189653</v>
      </c>
      <c r="J145" s="10">
        <f t="shared" si="17"/>
        <v>167.53582860052057</v>
      </c>
      <c r="K145" s="10">
        <f t="shared" si="18"/>
        <v>28863.948943737534</v>
      </c>
      <c r="L145" s="10">
        <f t="shared" si="19"/>
        <v>22136.051056262473</v>
      </c>
      <c r="M145" s="13"/>
      <c r="N145" s="13"/>
    </row>
    <row r="146" spans="5:14" x14ac:dyDescent="0.3">
      <c r="E146" s="15">
        <f t="shared" si="20"/>
        <v>12</v>
      </c>
      <c r="F146" s="15" t="s">
        <v>27</v>
      </c>
      <c r="G146" s="15">
        <f t="shared" si="16"/>
        <v>144</v>
      </c>
      <c r="H146" s="10">
        <f t="shared" si="21"/>
        <v>201.19048554071023</v>
      </c>
      <c r="I146" s="10">
        <f t="shared" si="22"/>
        <v>33.460441560543849</v>
      </c>
      <c r="J146" s="10">
        <f t="shared" si="17"/>
        <v>167.73004398016639</v>
      </c>
      <c r="K146" s="10">
        <f t="shared" si="18"/>
        <v>28696.218899757368</v>
      </c>
      <c r="L146" s="10">
        <f t="shared" si="19"/>
        <v>22303.781100242639</v>
      </c>
      <c r="M146" s="13"/>
      <c r="N146" s="13"/>
    </row>
    <row r="147" spans="5:14" x14ac:dyDescent="0.3">
      <c r="E147" s="15">
        <f t="shared" si="20"/>
        <v>13</v>
      </c>
      <c r="F147" s="15" t="s">
        <v>28</v>
      </c>
      <c r="G147" s="15">
        <f t="shared" si="16"/>
        <v>145</v>
      </c>
      <c r="H147" s="10">
        <f t="shared" si="21"/>
        <v>201.19048554071028</v>
      </c>
      <c r="I147" s="10">
        <f t="shared" si="22"/>
        <v>33.266001037333204</v>
      </c>
      <c r="J147" s="10">
        <f t="shared" si="17"/>
        <v>167.92448450337707</v>
      </c>
      <c r="K147" s="10">
        <f t="shared" si="18"/>
        <v>28528.294415253993</v>
      </c>
      <c r="L147" s="10">
        <f t="shared" si="19"/>
        <v>22471.705584746014</v>
      </c>
      <c r="M147" s="13"/>
      <c r="N147" s="13"/>
    </row>
    <row r="148" spans="5:14" x14ac:dyDescent="0.3">
      <c r="E148" s="15">
        <f t="shared" si="20"/>
        <v>13</v>
      </c>
      <c r="F148" s="15" t="s">
        <v>29</v>
      </c>
      <c r="G148" s="15">
        <f t="shared" si="16"/>
        <v>146</v>
      </c>
      <c r="H148" s="10">
        <f t="shared" si="21"/>
        <v>201.19048554071028</v>
      </c>
      <c r="I148" s="10">
        <f t="shared" si="22"/>
        <v>33.071335109560742</v>
      </c>
      <c r="J148" s="10">
        <f t="shared" si="17"/>
        <v>168.11915043114954</v>
      </c>
      <c r="K148" s="10">
        <f t="shared" si="18"/>
        <v>28360.175264822843</v>
      </c>
      <c r="L148" s="10">
        <f t="shared" si="19"/>
        <v>22639.824735177164</v>
      </c>
      <c r="M148" s="13"/>
      <c r="N148" s="13"/>
    </row>
    <row r="149" spans="5:14" x14ac:dyDescent="0.3">
      <c r="E149" s="15">
        <f t="shared" si="20"/>
        <v>13</v>
      </c>
      <c r="F149" s="15" t="s">
        <v>30</v>
      </c>
      <c r="G149" s="15">
        <f t="shared" si="16"/>
        <v>147</v>
      </c>
      <c r="H149" s="10">
        <f t="shared" si="21"/>
        <v>201.19048554071023</v>
      </c>
      <c r="I149" s="10">
        <f t="shared" si="22"/>
        <v>32.876443515926937</v>
      </c>
      <c r="J149" s="10">
        <f t="shared" si="17"/>
        <v>168.3140420247833</v>
      </c>
      <c r="K149" s="10">
        <f t="shared" si="18"/>
        <v>28191.861222798059</v>
      </c>
      <c r="L149" s="10">
        <f t="shared" si="19"/>
        <v>22808.138777201948</v>
      </c>
      <c r="M149" s="13"/>
      <c r="N149" s="13"/>
    </row>
    <row r="150" spans="5:14" x14ac:dyDescent="0.3">
      <c r="E150" s="15">
        <f t="shared" si="20"/>
        <v>13</v>
      </c>
      <c r="F150" s="15" t="s">
        <v>31</v>
      </c>
      <c r="G150" s="15">
        <f t="shared" si="16"/>
        <v>148</v>
      </c>
      <c r="H150" s="10">
        <f t="shared" si="21"/>
        <v>201.19048554071023</v>
      </c>
      <c r="I150" s="10">
        <f t="shared" si="22"/>
        <v>32.681325994829351</v>
      </c>
      <c r="J150" s="10">
        <f t="shared" si="17"/>
        <v>168.50915954588089</v>
      </c>
      <c r="K150" s="10">
        <f t="shared" si="18"/>
        <v>28023.35206325218</v>
      </c>
      <c r="L150" s="10">
        <f t="shared" si="19"/>
        <v>22976.647936747828</v>
      </c>
      <c r="M150" s="13"/>
      <c r="N150" s="13"/>
    </row>
    <row r="151" spans="5:14" x14ac:dyDescent="0.3">
      <c r="E151" s="15">
        <f t="shared" si="20"/>
        <v>13</v>
      </c>
      <c r="F151" s="15" t="s">
        <v>32</v>
      </c>
      <c r="G151" s="15">
        <f t="shared" si="16"/>
        <v>149</v>
      </c>
      <c r="H151" s="10">
        <f t="shared" si="21"/>
        <v>201.19048554071028</v>
      </c>
      <c r="I151" s="10">
        <f t="shared" si="22"/>
        <v>32.485982284362301</v>
      </c>
      <c r="J151" s="10">
        <f t="shared" si="17"/>
        <v>168.70450325634798</v>
      </c>
      <c r="K151" s="10">
        <f t="shared" si="18"/>
        <v>27854.647559995832</v>
      </c>
      <c r="L151" s="10">
        <f t="shared" si="19"/>
        <v>23145.352440004175</v>
      </c>
      <c r="M151" s="13"/>
      <c r="N151" s="13"/>
    </row>
    <row r="152" spans="5:14" x14ac:dyDescent="0.3">
      <c r="E152" s="15">
        <f t="shared" si="20"/>
        <v>13</v>
      </c>
      <c r="F152" s="15" t="s">
        <v>33</v>
      </c>
      <c r="G152" s="15">
        <f t="shared" si="16"/>
        <v>150</v>
      </c>
      <c r="H152" s="10">
        <f t="shared" si="21"/>
        <v>201.19048554071028</v>
      </c>
      <c r="I152" s="10">
        <f t="shared" si="22"/>
        <v>32.290412122316461</v>
      </c>
      <c r="J152" s="10">
        <f t="shared" si="17"/>
        <v>168.90007341839382</v>
      </c>
      <c r="K152" s="10">
        <f t="shared" si="18"/>
        <v>27685.747486577438</v>
      </c>
      <c r="L152" s="10">
        <f t="shared" si="19"/>
        <v>23314.252513422569</v>
      </c>
      <c r="M152" s="13"/>
      <c r="N152" s="13"/>
    </row>
    <row r="153" spans="5:14" x14ac:dyDescent="0.3">
      <c r="E153" s="15">
        <f t="shared" si="20"/>
        <v>13</v>
      </c>
      <c r="F153" s="15" t="s">
        <v>34</v>
      </c>
      <c r="G153" s="15">
        <f t="shared" si="16"/>
        <v>151</v>
      </c>
      <c r="H153" s="10">
        <f t="shared" si="21"/>
        <v>201.19048554071028</v>
      </c>
      <c r="I153" s="10">
        <f t="shared" si="22"/>
        <v>32.094615246178556</v>
      </c>
      <c r="J153" s="10">
        <f t="shared" si="17"/>
        <v>169.09587029453172</v>
      </c>
      <c r="K153" s="10">
        <f t="shared" si="18"/>
        <v>27516.651616282907</v>
      </c>
      <c r="L153" s="10">
        <f t="shared" si="19"/>
        <v>23483.348383717101</v>
      </c>
      <c r="M153" s="13"/>
      <c r="N153" s="13"/>
    </row>
    <row r="154" spans="5:14" x14ac:dyDescent="0.3">
      <c r="E154" s="15">
        <f t="shared" si="20"/>
        <v>13</v>
      </c>
      <c r="F154" s="15" t="s">
        <v>35</v>
      </c>
      <c r="G154" s="15">
        <f t="shared" si="16"/>
        <v>152</v>
      </c>
      <c r="H154" s="10">
        <f t="shared" si="21"/>
        <v>201.19048554071023</v>
      </c>
      <c r="I154" s="10">
        <f t="shared" si="22"/>
        <v>31.898591393130999</v>
      </c>
      <c r="J154" s="10">
        <f t="shared" si="17"/>
        <v>169.29189414757923</v>
      </c>
      <c r="K154" s="10">
        <f t="shared" si="18"/>
        <v>27347.359722135327</v>
      </c>
      <c r="L154" s="10">
        <f t="shared" si="19"/>
        <v>23652.640277864681</v>
      </c>
      <c r="M154" s="13"/>
      <c r="N154" s="13"/>
    </row>
    <row r="155" spans="5:14" x14ac:dyDescent="0.3">
      <c r="E155" s="15">
        <f t="shared" si="20"/>
        <v>13</v>
      </c>
      <c r="F155" s="15" t="s">
        <v>36</v>
      </c>
      <c r="G155" s="15">
        <f t="shared" si="16"/>
        <v>153</v>
      </c>
      <c r="H155" s="10">
        <f t="shared" si="21"/>
        <v>201.19048554071028</v>
      </c>
      <c r="I155" s="10">
        <f t="shared" si="22"/>
        <v>31.702340300051514</v>
      </c>
      <c r="J155" s="10">
        <f t="shared" si="17"/>
        <v>169.48814524065878</v>
      </c>
      <c r="K155" s="10">
        <f t="shared" si="18"/>
        <v>27177.871576894668</v>
      </c>
      <c r="L155" s="10">
        <f t="shared" si="19"/>
        <v>23822.12842310534</v>
      </c>
      <c r="M155" s="13"/>
      <c r="N155" s="13"/>
    </row>
    <row r="156" spans="5:14" x14ac:dyDescent="0.3">
      <c r="E156" s="15">
        <f t="shared" si="20"/>
        <v>13</v>
      </c>
      <c r="F156" s="15" t="s">
        <v>37</v>
      </c>
      <c r="G156" s="15">
        <f t="shared" si="16"/>
        <v>154</v>
      </c>
      <c r="H156" s="10">
        <f t="shared" si="21"/>
        <v>201.19048554071028</v>
      </c>
      <c r="I156" s="10">
        <f t="shared" si="22"/>
        <v>31.505861703512821</v>
      </c>
      <c r="J156" s="10">
        <f t="shared" si="17"/>
        <v>169.68462383719748</v>
      </c>
      <c r="K156" s="10">
        <f t="shared" si="18"/>
        <v>27008.18695305747</v>
      </c>
      <c r="L156" s="10">
        <f t="shared" si="19"/>
        <v>23991.813046942538</v>
      </c>
      <c r="M156" s="13"/>
      <c r="N156" s="13"/>
    </row>
    <row r="157" spans="5:14" x14ac:dyDescent="0.3">
      <c r="E157" s="15">
        <f t="shared" si="20"/>
        <v>13</v>
      </c>
      <c r="F157" s="15" t="s">
        <v>38</v>
      </c>
      <c r="G157" s="15">
        <f t="shared" si="16"/>
        <v>155</v>
      </c>
      <c r="H157" s="10">
        <f t="shared" si="21"/>
        <v>201.19048554071023</v>
      </c>
      <c r="I157" s="10">
        <f t="shared" si="22"/>
        <v>31.309155339782251</v>
      </c>
      <c r="J157" s="10">
        <f t="shared" si="17"/>
        <v>169.88133020092798</v>
      </c>
      <c r="K157" s="10">
        <f t="shared" si="18"/>
        <v>26838.30562285654</v>
      </c>
      <c r="L157" s="10">
        <f t="shared" si="19"/>
        <v>24161.694377143467</v>
      </c>
      <c r="M157" s="13"/>
      <c r="N157" s="13"/>
    </row>
    <row r="158" spans="5:14" x14ac:dyDescent="0.3">
      <c r="E158" s="15">
        <f t="shared" si="20"/>
        <v>13</v>
      </c>
      <c r="F158" s="15" t="s">
        <v>27</v>
      </c>
      <c r="G158" s="15">
        <f t="shared" si="16"/>
        <v>156</v>
      </c>
      <c r="H158" s="10">
        <f t="shared" si="21"/>
        <v>201.19048554071023</v>
      </c>
      <c r="I158" s="10">
        <f t="shared" si="22"/>
        <v>31.112220944821409</v>
      </c>
      <c r="J158" s="10">
        <f t="shared" si="17"/>
        <v>170.07826459588881</v>
      </c>
      <c r="K158" s="10">
        <f t="shared" si="18"/>
        <v>26668.22735826065</v>
      </c>
      <c r="L158" s="10">
        <f t="shared" si="19"/>
        <v>24331.772641739357</v>
      </c>
      <c r="M158" s="13"/>
      <c r="N158" s="13"/>
    </row>
    <row r="159" spans="5:14" x14ac:dyDescent="0.3">
      <c r="E159" s="15">
        <f t="shared" si="20"/>
        <v>14</v>
      </c>
      <c r="F159" s="15" t="s">
        <v>28</v>
      </c>
      <c r="G159" s="15">
        <f t="shared" si="16"/>
        <v>157</v>
      </c>
      <c r="H159" s="10">
        <f t="shared" si="21"/>
        <v>201.1904855407102</v>
      </c>
      <c r="I159" s="10">
        <f t="shared" si="22"/>
        <v>30.915058254285807</v>
      </c>
      <c r="J159" s="10">
        <f t="shared" si="17"/>
        <v>170.27542728642439</v>
      </c>
      <c r="K159" s="10">
        <f t="shared" si="18"/>
        <v>26497.951930974225</v>
      </c>
      <c r="L159" s="10">
        <f t="shared" si="19"/>
        <v>24502.048069025783</v>
      </c>
      <c r="M159" s="13"/>
      <c r="N159" s="13"/>
    </row>
    <row r="160" spans="5:14" x14ac:dyDescent="0.3">
      <c r="E160" s="15">
        <f t="shared" si="20"/>
        <v>14</v>
      </c>
      <c r="F160" s="15" t="s">
        <v>29</v>
      </c>
      <c r="G160" s="15">
        <f t="shared" si="16"/>
        <v>158</v>
      </c>
      <c r="H160" s="10">
        <f t="shared" si="21"/>
        <v>201.19048554071023</v>
      </c>
      <c r="I160" s="10">
        <f t="shared" si="22"/>
        <v>30.717667003524529</v>
      </c>
      <c r="J160" s="10">
        <f t="shared" si="17"/>
        <v>170.4728185371857</v>
      </c>
      <c r="K160" s="10">
        <f t="shared" si="18"/>
        <v>26327.479112437039</v>
      </c>
      <c r="L160" s="10">
        <f t="shared" si="19"/>
        <v>24672.520887562969</v>
      </c>
      <c r="M160" s="13"/>
      <c r="N160" s="13"/>
    </row>
    <row r="161" spans="5:14" x14ac:dyDescent="0.3">
      <c r="E161" s="15">
        <f t="shared" si="20"/>
        <v>14</v>
      </c>
      <c r="F161" s="15" t="s">
        <v>30</v>
      </c>
      <c r="G161" s="15">
        <f t="shared" si="16"/>
        <v>159</v>
      </c>
      <c r="H161" s="10">
        <f t="shared" si="21"/>
        <v>201.1904855407102</v>
      </c>
      <c r="I161" s="10">
        <f t="shared" si="22"/>
        <v>30.520046927579852</v>
      </c>
      <c r="J161" s="10">
        <f t="shared" si="17"/>
        <v>170.67043861313036</v>
      </c>
      <c r="K161" s="10">
        <f t="shared" si="18"/>
        <v>26156.808673823907</v>
      </c>
      <c r="L161" s="10">
        <f t="shared" si="19"/>
        <v>24843.1913261761</v>
      </c>
      <c r="M161" s="13"/>
      <c r="N161" s="13"/>
    </row>
    <row r="162" spans="5:14" x14ac:dyDescent="0.3">
      <c r="E162" s="15">
        <f t="shared" si="20"/>
        <v>14</v>
      </c>
      <c r="F162" s="15" t="s">
        <v>31</v>
      </c>
      <c r="G162" s="15">
        <f t="shared" si="16"/>
        <v>160</v>
      </c>
      <c r="H162" s="10">
        <f t="shared" si="21"/>
        <v>201.19048554071023</v>
      </c>
      <c r="I162" s="10">
        <f t="shared" si="22"/>
        <v>30.322197761186903</v>
      </c>
      <c r="J162" s="10">
        <f t="shared" si="17"/>
        <v>170.86828777952331</v>
      </c>
      <c r="K162" s="10">
        <f t="shared" si="18"/>
        <v>25985.940386044385</v>
      </c>
      <c r="L162" s="10">
        <f t="shared" si="19"/>
        <v>25014.059613955622</v>
      </c>
      <c r="M162" s="13"/>
      <c r="N162" s="13"/>
    </row>
    <row r="163" spans="5:14" x14ac:dyDescent="0.3">
      <c r="E163" s="15">
        <f t="shared" si="20"/>
        <v>14</v>
      </c>
      <c r="F163" s="15" t="s">
        <v>32</v>
      </c>
      <c r="G163" s="15">
        <f t="shared" si="16"/>
        <v>161</v>
      </c>
      <c r="H163" s="10">
        <f t="shared" si="21"/>
        <v>201.19048554071023</v>
      </c>
      <c r="I163" s="10">
        <f t="shared" si="22"/>
        <v>30.124119238773311</v>
      </c>
      <c r="J163" s="10">
        <f t="shared" si="17"/>
        <v>171.06636630193691</v>
      </c>
      <c r="K163" s="10">
        <f t="shared" si="18"/>
        <v>25814.874019742449</v>
      </c>
      <c r="L163" s="10">
        <f t="shared" si="19"/>
        <v>25185.125980257559</v>
      </c>
      <c r="M163" s="13"/>
      <c r="N163" s="13"/>
    </row>
    <row r="164" spans="5:14" x14ac:dyDescent="0.3">
      <c r="E164" s="15">
        <f t="shared" si="20"/>
        <v>14</v>
      </c>
      <c r="F164" s="15" t="s">
        <v>33</v>
      </c>
      <c r="G164" s="15">
        <f t="shared" si="16"/>
        <v>162</v>
      </c>
      <c r="H164" s="10">
        <f t="shared" si="21"/>
        <v>201.19048554071023</v>
      </c>
      <c r="I164" s="10">
        <f t="shared" si="22"/>
        <v>29.92581109445883</v>
      </c>
      <c r="J164" s="10">
        <f t="shared" si="17"/>
        <v>171.26467444625141</v>
      </c>
      <c r="K164" s="10">
        <f t="shared" si="18"/>
        <v>25643.609345296198</v>
      </c>
      <c r="L164" s="10">
        <f t="shared" si="19"/>
        <v>25356.39065470381</v>
      </c>
      <c r="M164" s="13"/>
      <c r="N164" s="13"/>
    </row>
    <row r="165" spans="5:14" x14ac:dyDescent="0.3">
      <c r="E165" s="15">
        <f t="shared" si="20"/>
        <v>14</v>
      </c>
      <c r="F165" s="15" t="s">
        <v>34</v>
      </c>
      <c r="G165" s="15">
        <f t="shared" si="16"/>
        <v>163</v>
      </c>
      <c r="H165" s="10">
        <f t="shared" si="21"/>
        <v>201.19048554071023</v>
      </c>
      <c r="I165" s="10">
        <f t="shared" si="22"/>
        <v>29.727273062054994</v>
      </c>
      <c r="J165" s="10">
        <f t="shared" si="17"/>
        <v>171.46321247865524</v>
      </c>
      <c r="K165" s="10">
        <f t="shared" si="18"/>
        <v>25472.146132817543</v>
      </c>
      <c r="L165" s="10">
        <f t="shared" si="19"/>
        <v>25527.853867182464</v>
      </c>
      <c r="M165" s="13"/>
      <c r="N165" s="13"/>
    </row>
    <row r="166" spans="5:14" x14ac:dyDescent="0.3">
      <c r="E166" s="15">
        <f t="shared" si="20"/>
        <v>14</v>
      </c>
      <c r="F166" s="15" t="s">
        <v>35</v>
      </c>
      <c r="G166" s="15">
        <f t="shared" si="16"/>
        <v>164</v>
      </c>
      <c r="H166" s="10">
        <f t="shared" si="21"/>
        <v>201.19048554071023</v>
      </c>
      <c r="I166" s="10">
        <f t="shared" si="22"/>
        <v>29.528504875064769</v>
      </c>
      <c r="J166" s="10">
        <f t="shared" si="17"/>
        <v>171.66198066564544</v>
      </c>
      <c r="K166" s="10">
        <f t="shared" si="18"/>
        <v>25300.484152151897</v>
      </c>
      <c r="L166" s="10">
        <f t="shared" si="19"/>
        <v>25699.51584784811</v>
      </c>
      <c r="M166" s="13"/>
      <c r="N166" s="13"/>
    </row>
    <row r="167" spans="5:14" x14ac:dyDescent="0.3">
      <c r="E167" s="15">
        <f t="shared" si="20"/>
        <v>14</v>
      </c>
      <c r="F167" s="15" t="s">
        <v>36</v>
      </c>
      <c r="G167" s="15">
        <f t="shared" si="16"/>
        <v>165</v>
      </c>
      <c r="H167" s="10">
        <f t="shared" si="21"/>
        <v>201.19048554071023</v>
      </c>
      <c r="I167" s="10">
        <f t="shared" si="22"/>
        <v>29.329506266682177</v>
      </c>
      <c r="J167" s="10">
        <f t="shared" si="17"/>
        <v>171.86097927402804</v>
      </c>
      <c r="K167" s="10">
        <f t="shared" si="18"/>
        <v>25128.623172877869</v>
      </c>
      <c r="L167" s="10">
        <f t="shared" si="19"/>
        <v>25871.376827122138</v>
      </c>
      <c r="M167" s="13"/>
      <c r="N167" s="13"/>
    </row>
    <row r="168" spans="5:14" x14ac:dyDescent="0.3">
      <c r="E168" s="15">
        <f t="shared" si="20"/>
        <v>14</v>
      </c>
      <c r="F168" s="15" t="s">
        <v>37</v>
      </c>
      <c r="G168" s="15">
        <f t="shared" si="16"/>
        <v>166</v>
      </c>
      <c r="H168" s="10">
        <f t="shared" si="21"/>
        <v>201.19048554071028</v>
      </c>
      <c r="I168" s="10">
        <f t="shared" si="22"/>
        <v>29.130276969791943</v>
      </c>
      <c r="J168" s="10">
        <f t="shared" si="17"/>
        <v>172.06020857091835</v>
      </c>
      <c r="K168" s="10">
        <f t="shared" si="18"/>
        <v>24956.562964306951</v>
      </c>
      <c r="L168" s="10">
        <f t="shared" si="19"/>
        <v>26043.437035693056</v>
      </c>
      <c r="M168" s="13"/>
      <c r="N168" s="13"/>
    </row>
    <row r="169" spans="5:14" x14ac:dyDescent="0.3">
      <c r="E169" s="15">
        <f t="shared" si="20"/>
        <v>14</v>
      </c>
      <c r="F169" s="15" t="s">
        <v>38</v>
      </c>
      <c r="G169" s="15">
        <f t="shared" si="16"/>
        <v>167</v>
      </c>
      <c r="H169" s="10">
        <f t="shared" si="21"/>
        <v>201.19048554071028</v>
      </c>
      <c r="I169" s="10">
        <f t="shared" si="22"/>
        <v>28.930816716969144</v>
      </c>
      <c r="J169" s="10">
        <f t="shared" si="17"/>
        <v>172.25966882374115</v>
      </c>
      <c r="K169" s="10">
        <f t="shared" si="18"/>
        <v>24784.303295483209</v>
      </c>
      <c r="L169" s="10">
        <f t="shared" si="19"/>
        <v>26215.696704516798</v>
      </c>
      <c r="M169" s="13"/>
      <c r="N169" s="13"/>
    </row>
    <row r="170" spans="5:14" x14ac:dyDescent="0.3">
      <c r="E170" s="15">
        <f t="shared" si="20"/>
        <v>14</v>
      </c>
      <c r="F170" s="15" t="s">
        <v>27</v>
      </c>
      <c r="G170" s="15">
        <f t="shared" si="16"/>
        <v>168</v>
      </c>
      <c r="H170" s="10">
        <f t="shared" si="21"/>
        <v>201.1904855407102</v>
      </c>
      <c r="I170" s="10">
        <f t="shared" si="22"/>
        <v>28.73112524047885</v>
      </c>
      <c r="J170" s="10">
        <f t="shared" si="17"/>
        <v>172.45936030023134</v>
      </c>
      <c r="K170" s="10">
        <f t="shared" si="18"/>
        <v>24611.843935182977</v>
      </c>
      <c r="L170" s="10">
        <f t="shared" si="19"/>
        <v>26388.156064817031</v>
      </c>
      <c r="M170" s="13"/>
      <c r="N170" s="13"/>
    </row>
    <row r="171" spans="5:14" x14ac:dyDescent="0.3">
      <c r="E171" s="15">
        <f t="shared" si="20"/>
        <v>15</v>
      </c>
      <c r="F171" s="15" t="s">
        <v>28</v>
      </c>
      <c r="G171" s="15">
        <f t="shared" si="16"/>
        <v>169</v>
      </c>
      <c r="H171" s="10">
        <f t="shared" si="21"/>
        <v>201.1904855407102</v>
      </c>
      <c r="I171" s="10">
        <f t="shared" si="22"/>
        <v>28.531202272275749</v>
      </c>
      <c r="J171" s="10">
        <f t="shared" si="17"/>
        <v>172.65928326843445</v>
      </c>
      <c r="K171" s="10">
        <f t="shared" si="18"/>
        <v>24439.184651914544</v>
      </c>
      <c r="L171" s="10">
        <f t="shared" si="19"/>
        <v>26560.815348085463</v>
      </c>
      <c r="M171" s="13"/>
      <c r="N171" s="13"/>
    </row>
    <row r="172" spans="5:14" x14ac:dyDescent="0.3">
      <c r="E172" s="15">
        <f t="shared" si="20"/>
        <v>15</v>
      </c>
      <c r="F172" s="15" t="s">
        <v>29</v>
      </c>
      <c r="G172" s="15">
        <f t="shared" si="16"/>
        <v>170</v>
      </c>
      <c r="H172" s="10">
        <f t="shared" si="21"/>
        <v>201.19048554071028</v>
      </c>
      <c r="I172" s="10">
        <f t="shared" si="22"/>
        <v>28.331047544003816</v>
      </c>
      <c r="J172" s="10">
        <f t="shared" si="17"/>
        <v>172.85943799670648</v>
      </c>
      <c r="K172" s="10">
        <f t="shared" si="18"/>
        <v>24266.325213917837</v>
      </c>
      <c r="L172" s="10">
        <f t="shared" si="19"/>
        <v>26733.674786082171</v>
      </c>
      <c r="M172" s="13"/>
      <c r="N172" s="13"/>
    </row>
    <row r="173" spans="5:14" x14ac:dyDescent="0.3">
      <c r="E173" s="15">
        <f t="shared" si="20"/>
        <v>15</v>
      </c>
      <c r="F173" s="15" t="s">
        <v>30</v>
      </c>
      <c r="G173" s="15">
        <f t="shared" si="16"/>
        <v>171</v>
      </c>
      <c r="H173" s="10">
        <f t="shared" si="21"/>
        <v>201.19048554071028</v>
      </c>
      <c r="I173" s="10">
        <f t="shared" si="22"/>
        <v>28.130660786995911</v>
      </c>
      <c r="J173" s="10">
        <f t="shared" si="17"/>
        <v>173.05982475371437</v>
      </c>
      <c r="K173" s="10">
        <f t="shared" si="18"/>
        <v>24093.265389164124</v>
      </c>
      <c r="L173" s="10">
        <f t="shared" si="19"/>
        <v>26906.734610835883</v>
      </c>
      <c r="M173" s="13"/>
      <c r="N173" s="13"/>
    </row>
    <row r="174" spans="5:14" x14ac:dyDescent="0.3">
      <c r="E174" s="15">
        <f t="shared" si="20"/>
        <v>15</v>
      </c>
      <c r="F174" s="15" t="s">
        <v>31</v>
      </c>
      <c r="G174" s="15">
        <f t="shared" si="16"/>
        <v>172</v>
      </c>
      <c r="H174" s="10">
        <f t="shared" si="21"/>
        <v>201.19048554071023</v>
      </c>
      <c r="I174" s="10">
        <f t="shared" si="22"/>
        <v>27.930041732273466</v>
      </c>
      <c r="J174" s="10">
        <f t="shared" si="17"/>
        <v>173.26044380843678</v>
      </c>
      <c r="K174" s="10">
        <f t="shared" si="18"/>
        <v>23920.004945355686</v>
      </c>
      <c r="L174" s="10">
        <f t="shared" si="19"/>
        <v>27079.995054644321</v>
      </c>
      <c r="M174" s="13"/>
      <c r="N174" s="13"/>
    </row>
    <row r="175" spans="5:14" x14ac:dyDescent="0.3">
      <c r="E175" s="15">
        <f t="shared" si="20"/>
        <v>15</v>
      </c>
      <c r="F175" s="15" t="s">
        <v>32</v>
      </c>
      <c r="G175" s="15">
        <f t="shared" si="16"/>
        <v>173</v>
      </c>
      <c r="H175" s="10">
        <f t="shared" si="21"/>
        <v>201.19048554071023</v>
      </c>
      <c r="I175" s="10">
        <f t="shared" si="22"/>
        <v>27.729190110546082</v>
      </c>
      <c r="J175" s="10">
        <f t="shared" si="17"/>
        <v>173.46129543016414</v>
      </c>
      <c r="K175" s="10">
        <f t="shared" si="18"/>
        <v>23746.543649925523</v>
      </c>
      <c r="L175" s="10">
        <f t="shared" si="19"/>
        <v>27253.456350074484</v>
      </c>
      <c r="M175" s="13"/>
      <c r="N175" s="13"/>
    </row>
    <row r="176" spans="5:14" x14ac:dyDescent="0.3">
      <c r="E176" s="15">
        <f t="shared" si="20"/>
        <v>15</v>
      </c>
      <c r="F176" s="15" t="s">
        <v>33</v>
      </c>
      <c r="G176" s="15">
        <f t="shared" si="16"/>
        <v>174</v>
      </c>
      <c r="H176" s="10">
        <f t="shared" si="21"/>
        <v>201.19048554071023</v>
      </c>
      <c r="I176" s="10">
        <f t="shared" si="22"/>
        <v>27.528105652211195</v>
      </c>
      <c r="J176" s="10">
        <f t="shared" si="17"/>
        <v>173.66237988849903</v>
      </c>
      <c r="K176" s="10">
        <f t="shared" si="18"/>
        <v>23572.881270037025</v>
      </c>
      <c r="L176" s="10">
        <f t="shared" si="19"/>
        <v>27427.118729962982</v>
      </c>
      <c r="M176" s="13"/>
      <c r="N176" s="13"/>
    </row>
    <row r="177" spans="5:14" x14ac:dyDescent="0.3">
      <c r="E177" s="15">
        <f t="shared" si="20"/>
        <v>15</v>
      </c>
      <c r="F177" s="15" t="s">
        <v>34</v>
      </c>
      <c r="G177" s="15">
        <f t="shared" si="16"/>
        <v>175</v>
      </c>
      <c r="H177" s="10">
        <f t="shared" si="21"/>
        <v>201.19048554071023</v>
      </c>
      <c r="I177" s="10">
        <f t="shared" si="22"/>
        <v>27.326788087353712</v>
      </c>
      <c r="J177" s="10">
        <f t="shared" si="17"/>
        <v>173.86369745335651</v>
      </c>
      <c r="K177" s="10">
        <f t="shared" si="18"/>
        <v>23399.017572583667</v>
      </c>
      <c r="L177" s="10">
        <f t="shared" si="19"/>
        <v>27600.98242741634</v>
      </c>
      <c r="M177" s="13"/>
      <c r="N177" s="13"/>
    </row>
    <row r="178" spans="5:14" x14ac:dyDescent="0.3">
      <c r="E178" s="15">
        <f t="shared" si="20"/>
        <v>15</v>
      </c>
      <c r="F178" s="15" t="s">
        <v>35</v>
      </c>
      <c r="G178" s="15">
        <f t="shared" si="16"/>
        <v>176</v>
      </c>
      <c r="H178" s="10">
        <f t="shared" si="21"/>
        <v>201.19048554071023</v>
      </c>
      <c r="I178" s="10">
        <f t="shared" si="22"/>
        <v>27.125237145745619</v>
      </c>
      <c r="J178" s="10">
        <f t="shared" si="17"/>
        <v>174.06524839496461</v>
      </c>
      <c r="K178" s="10">
        <f t="shared" si="18"/>
        <v>23224.952324188704</v>
      </c>
      <c r="L178" s="10">
        <f t="shared" si="19"/>
        <v>27775.047675811304</v>
      </c>
      <c r="M178" s="13"/>
      <c r="N178" s="13"/>
    </row>
    <row r="179" spans="5:14" x14ac:dyDescent="0.3">
      <c r="E179" s="15">
        <f t="shared" si="20"/>
        <v>15</v>
      </c>
      <c r="F179" s="15" t="s">
        <v>36</v>
      </c>
      <c r="G179" s="15">
        <f t="shared" si="16"/>
        <v>177</v>
      </c>
      <c r="H179" s="10">
        <f t="shared" si="21"/>
        <v>201.19048554071028</v>
      </c>
      <c r="I179" s="10">
        <f t="shared" si="22"/>
        <v>26.923452556845671</v>
      </c>
      <c r="J179" s="10">
        <f t="shared" si="17"/>
        <v>174.26703298386462</v>
      </c>
      <c r="K179" s="10">
        <f t="shared" si="18"/>
        <v>23050.685291204838</v>
      </c>
      <c r="L179" s="10">
        <f t="shared" si="19"/>
        <v>27949.314708795169</v>
      </c>
      <c r="M179" s="13"/>
      <c r="N179" s="13"/>
    </row>
    <row r="180" spans="5:14" x14ac:dyDescent="0.3">
      <c r="E180" s="15">
        <f t="shared" si="20"/>
        <v>15</v>
      </c>
      <c r="F180" s="15" t="s">
        <v>37</v>
      </c>
      <c r="G180" s="15">
        <f t="shared" si="16"/>
        <v>178</v>
      </c>
      <c r="H180" s="10">
        <f t="shared" si="21"/>
        <v>201.19048554071023</v>
      </c>
      <c r="I180" s="10">
        <f t="shared" si="22"/>
        <v>26.721434049798969</v>
      </c>
      <c r="J180" s="10">
        <f t="shared" si="17"/>
        <v>174.46905149091126</v>
      </c>
      <c r="K180" s="10">
        <f t="shared" si="18"/>
        <v>22876.216239713925</v>
      </c>
      <c r="L180" s="10">
        <f t="shared" si="19"/>
        <v>28123.783760286082</v>
      </c>
      <c r="M180" s="13"/>
      <c r="N180" s="13"/>
    </row>
    <row r="181" spans="5:14" x14ac:dyDescent="0.3">
      <c r="E181" s="15">
        <f t="shared" si="20"/>
        <v>15</v>
      </c>
      <c r="F181" s="15" t="s">
        <v>38</v>
      </c>
      <c r="G181" s="15">
        <f t="shared" si="16"/>
        <v>179</v>
      </c>
      <c r="H181" s="10">
        <f t="shared" si="21"/>
        <v>201.19048554071023</v>
      </c>
      <c r="I181" s="10">
        <f t="shared" si="22"/>
        <v>26.519181353436654</v>
      </c>
      <c r="J181" s="10">
        <f t="shared" si="17"/>
        <v>174.67130418727356</v>
      </c>
      <c r="K181" s="10">
        <f t="shared" si="18"/>
        <v>22701.544935526654</v>
      </c>
      <c r="L181" s="10">
        <f t="shared" si="19"/>
        <v>28298.455064473354</v>
      </c>
      <c r="M181" s="13"/>
      <c r="N181" s="13"/>
    </row>
    <row r="182" spans="5:14" x14ac:dyDescent="0.3">
      <c r="E182" s="15">
        <f t="shared" si="20"/>
        <v>15</v>
      </c>
      <c r="F182" s="15" t="s">
        <v>27</v>
      </c>
      <c r="G182" s="15">
        <f t="shared" si="16"/>
        <v>180</v>
      </c>
      <c r="H182" s="10">
        <f t="shared" si="21"/>
        <v>201.19048554071023</v>
      </c>
      <c r="I182" s="10">
        <f t="shared" si="22"/>
        <v>26.316694196275495</v>
      </c>
      <c r="J182" s="10">
        <f t="shared" si="17"/>
        <v>174.87379134443472</v>
      </c>
      <c r="K182" s="10">
        <f t="shared" si="18"/>
        <v>22526.671144182219</v>
      </c>
      <c r="L182" s="10">
        <f t="shared" si="19"/>
        <v>28473.328855817788</v>
      </c>
      <c r="M182" s="13"/>
      <c r="N182" s="13"/>
    </row>
    <row r="183" spans="5:14" x14ac:dyDescent="0.3">
      <c r="E183" s="15">
        <f t="shared" si="20"/>
        <v>16</v>
      </c>
      <c r="F183" s="15" t="s">
        <v>28</v>
      </c>
      <c r="G183" s="15">
        <f t="shared" si="16"/>
        <v>181</v>
      </c>
      <c r="H183" s="10">
        <f t="shared" si="21"/>
        <v>201.19048554071028</v>
      </c>
      <c r="I183" s="10">
        <f t="shared" si="22"/>
        <v>26.113972306517557</v>
      </c>
      <c r="J183" s="10">
        <f t="shared" si="17"/>
        <v>175.07651323419273</v>
      </c>
      <c r="K183" s="10">
        <f t="shared" si="18"/>
        <v>22351.594630948028</v>
      </c>
      <c r="L183" s="10">
        <f t="shared" si="19"/>
        <v>28648.40536905198</v>
      </c>
      <c r="M183" s="13"/>
      <c r="N183" s="13"/>
    </row>
    <row r="184" spans="5:14" x14ac:dyDescent="0.3">
      <c r="E184" s="15">
        <f t="shared" si="20"/>
        <v>16</v>
      </c>
      <c r="F184" s="15" t="s">
        <v>29</v>
      </c>
      <c r="G184" s="15">
        <f t="shared" si="16"/>
        <v>182</v>
      </c>
      <c r="H184" s="10">
        <f t="shared" si="21"/>
        <v>201.19048554071023</v>
      </c>
      <c r="I184" s="10">
        <f t="shared" si="22"/>
        <v>25.911015412049814</v>
      </c>
      <c r="J184" s="10">
        <f t="shared" si="17"/>
        <v>175.27947012866042</v>
      </c>
      <c r="K184" s="10">
        <f t="shared" si="18"/>
        <v>22176.315160819366</v>
      </c>
      <c r="L184" s="10">
        <f t="shared" si="19"/>
        <v>28823.684839180642</v>
      </c>
      <c r="M184" s="13"/>
      <c r="N184" s="13"/>
    </row>
    <row r="185" spans="5:14" x14ac:dyDescent="0.3">
      <c r="E185" s="15">
        <f t="shared" si="20"/>
        <v>16</v>
      </c>
      <c r="F185" s="15" t="s">
        <v>30</v>
      </c>
      <c r="G185" s="15">
        <f t="shared" si="16"/>
        <v>183</v>
      </c>
      <c r="H185" s="10">
        <f t="shared" si="21"/>
        <v>201.19048554071023</v>
      </c>
      <c r="I185" s="10">
        <f t="shared" si="22"/>
        <v>25.707823240443798</v>
      </c>
      <c r="J185" s="10">
        <f t="shared" si="17"/>
        <v>175.48266230026644</v>
      </c>
      <c r="K185" s="10">
        <f t="shared" si="18"/>
        <v>22000.832498519099</v>
      </c>
      <c r="L185" s="10">
        <f t="shared" si="19"/>
        <v>28999.167501480908</v>
      </c>
      <c r="M185" s="13"/>
      <c r="N185" s="13"/>
    </row>
    <row r="186" spans="5:14" x14ac:dyDescent="0.3">
      <c r="E186" s="15">
        <f t="shared" si="20"/>
        <v>16</v>
      </c>
      <c r="F186" s="15" t="s">
        <v>31</v>
      </c>
      <c r="G186" s="15">
        <f t="shared" si="16"/>
        <v>184</v>
      </c>
      <c r="H186" s="10">
        <f t="shared" si="21"/>
        <v>201.19048554071028</v>
      </c>
      <c r="I186" s="10">
        <f t="shared" si="22"/>
        <v>25.504395518955235</v>
      </c>
      <c r="J186" s="10">
        <f t="shared" si="17"/>
        <v>175.68609002175504</v>
      </c>
      <c r="K186" s="10">
        <f t="shared" si="18"/>
        <v>21825.146408497345</v>
      </c>
      <c r="L186" s="10">
        <f t="shared" si="19"/>
        <v>29174.853591502662</v>
      </c>
      <c r="M186" s="13"/>
      <c r="N186" s="13"/>
    </row>
    <row r="187" spans="5:14" x14ac:dyDescent="0.3">
      <c r="E187" s="15">
        <f t="shared" si="20"/>
        <v>16</v>
      </c>
      <c r="F187" s="15" t="s">
        <v>32</v>
      </c>
      <c r="G187" s="15">
        <f t="shared" si="16"/>
        <v>185</v>
      </c>
      <c r="H187" s="10">
        <f t="shared" si="21"/>
        <v>201.19048554071028</v>
      </c>
      <c r="I187" s="10">
        <f t="shared" si="22"/>
        <v>25.300731974523668</v>
      </c>
      <c r="J187" s="10">
        <f t="shared" si="17"/>
        <v>175.88975356618661</v>
      </c>
      <c r="K187" s="10">
        <f t="shared" si="18"/>
        <v>21649.25665493116</v>
      </c>
      <c r="L187" s="10">
        <f t="shared" si="19"/>
        <v>29350.743345068848</v>
      </c>
      <c r="M187" s="13"/>
      <c r="N187" s="13"/>
    </row>
    <row r="188" spans="5:14" x14ac:dyDescent="0.3">
      <c r="E188" s="15">
        <f t="shared" si="20"/>
        <v>16</v>
      </c>
      <c r="F188" s="15" t="s">
        <v>33</v>
      </c>
      <c r="G188" s="15">
        <f t="shared" si="16"/>
        <v>186</v>
      </c>
      <c r="H188" s="10">
        <f t="shared" si="21"/>
        <v>201.19048554071028</v>
      </c>
      <c r="I188" s="10">
        <f t="shared" si="22"/>
        <v>25.096832333772095</v>
      </c>
      <c r="J188" s="10">
        <f t="shared" si="17"/>
        <v>176.0936532069382</v>
      </c>
      <c r="K188" s="10">
        <f t="shared" si="18"/>
        <v>21473.163001724221</v>
      </c>
      <c r="L188" s="10">
        <f t="shared" si="19"/>
        <v>29526.836998275787</v>
      </c>
      <c r="M188" s="13"/>
      <c r="N188" s="13"/>
    </row>
    <row r="189" spans="5:14" x14ac:dyDescent="0.3">
      <c r="E189" s="15">
        <f t="shared" si="20"/>
        <v>16</v>
      </c>
      <c r="F189" s="15" t="s">
        <v>34</v>
      </c>
      <c r="G189" s="15">
        <f t="shared" si="16"/>
        <v>187</v>
      </c>
      <c r="H189" s="10">
        <f t="shared" si="21"/>
        <v>201.19048554071028</v>
      </c>
      <c r="I189" s="10">
        <f t="shared" si="22"/>
        <v>24.892696323006604</v>
      </c>
      <c r="J189" s="10">
        <f t="shared" si="17"/>
        <v>176.29778921770367</v>
      </c>
      <c r="K189" s="10">
        <f t="shared" si="18"/>
        <v>21296.865212506516</v>
      </c>
      <c r="L189" s="10">
        <f t="shared" si="19"/>
        <v>29703.134787493491</v>
      </c>
      <c r="M189" s="13"/>
      <c r="N189" s="13"/>
    </row>
    <row r="190" spans="5:14" x14ac:dyDescent="0.3">
      <c r="E190" s="15">
        <f t="shared" si="20"/>
        <v>16</v>
      </c>
      <c r="F190" s="15" t="s">
        <v>35</v>
      </c>
      <c r="G190" s="15">
        <f t="shared" si="16"/>
        <v>188</v>
      </c>
      <c r="H190" s="10">
        <f t="shared" si="21"/>
        <v>201.1904855407102</v>
      </c>
      <c r="I190" s="10">
        <f t="shared" si="22"/>
        <v>24.688323668216</v>
      </c>
      <c r="J190" s="10">
        <f t="shared" si="17"/>
        <v>176.50216187249418</v>
      </c>
      <c r="K190" s="10">
        <f t="shared" si="18"/>
        <v>21120.363050634023</v>
      </c>
      <c r="L190" s="10">
        <f t="shared" si="19"/>
        <v>29879.636949365984</v>
      </c>
      <c r="M190" s="13"/>
      <c r="N190" s="13"/>
    </row>
    <row r="191" spans="5:14" x14ac:dyDescent="0.3">
      <c r="E191" s="15">
        <f t="shared" si="20"/>
        <v>16</v>
      </c>
      <c r="F191" s="15" t="s">
        <v>36</v>
      </c>
      <c r="G191" s="15">
        <f t="shared" si="16"/>
        <v>189</v>
      </c>
      <c r="H191" s="10">
        <f t="shared" si="21"/>
        <v>201.19048554071028</v>
      </c>
      <c r="I191" s="10">
        <f t="shared" si="22"/>
        <v>24.483714095071448</v>
      </c>
      <c r="J191" s="10">
        <f t="shared" si="17"/>
        <v>176.70677144563882</v>
      </c>
      <c r="K191" s="10">
        <f t="shared" si="18"/>
        <v>20943.656279188384</v>
      </c>
      <c r="L191" s="10">
        <f t="shared" si="19"/>
        <v>30056.343720811623</v>
      </c>
      <c r="M191" s="13"/>
      <c r="N191" s="13"/>
    </row>
    <row r="192" spans="5:14" x14ac:dyDescent="0.3">
      <c r="E192" s="15">
        <f t="shared" si="20"/>
        <v>16</v>
      </c>
      <c r="F192" s="15" t="s">
        <v>37</v>
      </c>
      <c r="G192" s="15">
        <f t="shared" si="16"/>
        <v>190</v>
      </c>
      <c r="H192" s="10">
        <f t="shared" si="21"/>
        <v>201.19048554071028</v>
      </c>
      <c r="I192" s="10">
        <f t="shared" si="22"/>
        <v>24.278867328926097</v>
      </c>
      <c r="J192" s="10">
        <f t="shared" si="17"/>
        <v>176.91161821178417</v>
      </c>
      <c r="K192" s="10">
        <f t="shared" si="18"/>
        <v>20766.744660976601</v>
      </c>
      <c r="L192" s="10">
        <f t="shared" si="19"/>
        <v>30233.255339023406</v>
      </c>
      <c r="M192" s="13"/>
      <c r="N192" s="13"/>
    </row>
    <row r="193" spans="5:14" x14ac:dyDescent="0.3">
      <c r="E193" s="15">
        <f t="shared" si="20"/>
        <v>16</v>
      </c>
      <c r="F193" s="15" t="s">
        <v>38</v>
      </c>
      <c r="G193" s="15">
        <f t="shared" si="16"/>
        <v>191</v>
      </c>
      <c r="H193" s="10">
        <f t="shared" si="21"/>
        <v>201.19048554071031</v>
      </c>
      <c r="I193" s="10">
        <f t="shared" si="22"/>
        <v>24.073783094814711</v>
      </c>
      <c r="J193" s="10">
        <f t="shared" si="17"/>
        <v>177.11670244589561</v>
      </c>
      <c r="K193" s="10">
        <f t="shared" si="18"/>
        <v>20589.627958530706</v>
      </c>
      <c r="L193" s="10">
        <f t="shared" si="19"/>
        <v>30410.372041469302</v>
      </c>
      <c r="M193" s="13"/>
      <c r="N193" s="13"/>
    </row>
    <row r="194" spans="5:14" x14ac:dyDescent="0.3">
      <c r="E194" s="15">
        <f t="shared" si="20"/>
        <v>16</v>
      </c>
      <c r="F194" s="15" t="s">
        <v>27</v>
      </c>
      <c r="G194" s="15">
        <f t="shared" si="16"/>
        <v>192</v>
      </c>
      <c r="H194" s="10">
        <f t="shared" si="21"/>
        <v>201.19048554071028</v>
      </c>
      <c r="I194" s="10">
        <f t="shared" si="22"/>
        <v>23.868461117453297</v>
      </c>
      <c r="J194" s="10">
        <f t="shared" si="17"/>
        <v>177.32202442325698</v>
      </c>
      <c r="K194" s="10">
        <f t="shared" si="18"/>
        <v>20412.305934107448</v>
      </c>
      <c r="L194" s="10">
        <f t="shared" si="19"/>
        <v>30587.69406589256</v>
      </c>
      <c r="M194" s="13"/>
      <c r="N194" s="13"/>
    </row>
    <row r="195" spans="5:14" x14ac:dyDescent="0.3">
      <c r="E195" s="15">
        <f t="shared" si="20"/>
        <v>17</v>
      </c>
      <c r="F195" s="15" t="s">
        <v>28</v>
      </c>
      <c r="G195" s="15">
        <f t="shared" ref="G195:G258" si="23">IF(G194&gt;=$B$18,"",G194+1)</f>
        <v>193</v>
      </c>
      <c r="H195" s="10">
        <f t="shared" si="21"/>
        <v>201.19048554071023</v>
      </c>
      <c r="I195" s="10">
        <f t="shared" si="22"/>
        <v>23.662901121238743</v>
      </c>
      <c r="J195" s="10">
        <f t="shared" ref="J195:J258" si="24">IF(G195&lt;=$B$18,H195-I195,"")</f>
        <v>177.52758441947148</v>
      </c>
      <c r="K195" s="10">
        <f t="shared" ref="K195:K258" si="25">IF(G195&lt;=$B$18,K194-J195,"")</f>
        <v>20234.778349687975</v>
      </c>
      <c r="L195" s="10">
        <f t="shared" ref="L195:L258" si="26">IF(G195&lt;=$B$18,L194+J195,"")</f>
        <v>30765.221650312033</v>
      </c>
      <c r="M195" s="13"/>
      <c r="N195" s="13"/>
    </row>
    <row r="196" spans="5:14" x14ac:dyDescent="0.3">
      <c r="E196" s="15">
        <f t="shared" ref="E196:E259" si="27">IF(G195&gt;=$B$18,"",INT(G195/12)+1)</f>
        <v>17</v>
      </c>
      <c r="F196" s="15" t="s">
        <v>29</v>
      </c>
      <c r="G196" s="15">
        <f t="shared" si="23"/>
        <v>194</v>
      </c>
      <c r="H196" s="10">
        <f t="shared" si="21"/>
        <v>201.19048554071028</v>
      </c>
      <c r="I196" s="10">
        <f t="shared" si="22"/>
        <v>23.457102830248449</v>
      </c>
      <c r="J196" s="10">
        <f t="shared" si="24"/>
        <v>177.73338271046183</v>
      </c>
      <c r="K196" s="10">
        <f t="shared" si="25"/>
        <v>20057.044966977512</v>
      </c>
      <c r="L196" s="10">
        <f t="shared" si="26"/>
        <v>30942.955033022496</v>
      </c>
      <c r="M196" s="13"/>
      <c r="N196" s="13"/>
    </row>
    <row r="197" spans="5:14" x14ac:dyDescent="0.3">
      <c r="E197" s="15">
        <f t="shared" si="27"/>
        <v>17</v>
      </c>
      <c r="F197" s="15" t="s">
        <v>30</v>
      </c>
      <c r="G197" s="15">
        <f t="shared" si="23"/>
        <v>195</v>
      </c>
      <c r="H197" s="10">
        <f t="shared" si="21"/>
        <v>201.19048554071028</v>
      </c>
      <c r="I197" s="10">
        <f t="shared" si="22"/>
        <v>23.251065968239949</v>
      </c>
      <c r="J197" s="10">
        <f t="shared" si="24"/>
        <v>177.93941957247034</v>
      </c>
      <c r="K197" s="10">
        <f t="shared" si="25"/>
        <v>19879.105547405041</v>
      </c>
      <c r="L197" s="10">
        <f t="shared" si="26"/>
        <v>31120.894452594966</v>
      </c>
      <c r="M197" s="13"/>
      <c r="N197" s="13"/>
    </row>
    <row r="198" spans="5:14" x14ac:dyDescent="0.3">
      <c r="E198" s="15">
        <f t="shared" si="27"/>
        <v>17</v>
      </c>
      <c r="F198" s="15" t="s">
        <v>31</v>
      </c>
      <c r="G198" s="15">
        <f t="shared" si="23"/>
        <v>196</v>
      </c>
      <c r="H198" s="10">
        <f t="shared" si="21"/>
        <v>201.19048554071023</v>
      </c>
      <c r="I198" s="10">
        <f t="shared" si="22"/>
        <v>23.044790258650547</v>
      </c>
      <c r="J198" s="10">
        <f t="shared" si="24"/>
        <v>178.14569528205968</v>
      </c>
      <c r="K198" s="10">
        <f t="shared" si="25"/>
        <v>19700.959852122982</v>
      </c>
      <c r="L198" s="10">
        <f t="shared" si="26"/>
        <v>31299.040147877025</v>
      </c>
      <c r="M198" s="13"/>
      <c r="N198" s="13"/>
    </row>
    <row r="199" spans="5:14" x14ac:dyDescent="0.3">
      <c r="E199" s="15">
        <f t="shared" si="27"/>
        <v>17</v>
      </c>
      <c r="F199" s="15" t="s">
        <v>32</v>
      </c>
      <c r="G199" s="15">
        <f t="shared" si="23"/>
        <v>197</v>
      </c>
      <c r="H199" s="10">
        <f t="shared" si="21"/>
        <v>201.1904855407102</v>
      </c>
      <c r="I199" s="10">
        <f t="shared" si="22"/>
        <v>22.838275424596937</v>
      </c>
      <c r="J199" s="10">
        <f t="shared" si="24"/>
        <v>178.35221011611327</v>
      </c>
      <c r="K199" s="10">
        <f t="shared" si="25"/>
        <v>19522.607642006868</v>
      </c>
      <c r="L199" s="10">
        <f t="shared" si="26"/>
        <v>31477.39235799314</v>
      </c>
      <c r="M199" s="13"/>
      <c r="N199" s="13"/>
    </row>
    <row r="200" spans="5:14" x14ac:dyDescent="0.3">
      <c r="E200" s="15">
        <f t="shared" si="27"/>
        <v>17</v>
      </c>
      <c r="F200" s="15" t="s">
        <v>33</v>
      </c>
      <c r="G200" s="15">
        <f t="shared" si="23"/>
        <v>198</v>
      </c>
      <c r="H200" s="10">
        <f t="shared" si="21"/>
        <v>201.19048554071023</v>
      </c>
      <c r="I200" s="10">
        <f t="shared" si="22"/>
        <v>22.631521188874839</v>
      </c>
      <c r="J200" s="10">
        <f t="shared" si="24"/>
        <v>178.55896435183539</v>
      </c>
      <c r="K200" s="10">
        <f t="shared" si="25"/>
        <v>19344.048677655031</v>
      </c>
      <c r="L200" s="10">
        <f t="shared" si="26"/>
        <v>31655.951322344976</v>
      </c>
      <c r="M200" s="13"/>
      <c r="N200" s="13"/>
    </row>
    <row r="201" spans="5:14" x14ac:dyDescent="0.3">
      <c r="E201" s="15">
        <f t="shared" si="27"/>
        <v>17</v>
      </c>
      <c r="F201" s="15" t="s">
        <v>34</v>
      </c>
      <c r="G201" s="15">
        <f t="shared" si="23"/>
        <v>199</v>
      </c>
      <c r="H201" s="10">
        <f t="shared" si="21"/>
        <v>201.19048554071023</v>
      </c>
      <c r="I201" s="10">
        <f t="shared" si="22"/>
        <v>22.424527273958631</v>
      </c>
      <c r="J201" s="10">
        <f t="shared" si="24"/>
        <v>178.7659582667516</v>
      </c>
      <c r="K201" s="10">
        <f t="shared" si="25"/>
        <v>19165.28271938828</v>
      </c>
      <c r="L201" s="10">
        <f t="shared" si="26"/>
        <v>31834.717280611727</v>
      </c>
      <c r="M201" s="13"/>
      <c r="N201" s="13"/>
    </row>
    <row r="202" spans="5:14" x14ac:dyDescent="0.3">
      <c r="E202" s="15">
        <f t="shared" si="27"/>
        <v>17</v>
      </c>
      <c r="F202" s="15" t="s">
        <v>35</v>
      </c>
      <c r="G202" s="15">
        <f t="shared" si="23"/>
        <v>200</v>
      </c>
      <c r="H202" s="10">
        <f t="shared" si="21"/>
        <v>201.19048554071023</v>
      </c>
      <c r="I202" s="10">
        <f t="shared" si="22"/>
        <v>22.217293402000958</v>
      </c>
      <c r="J202" s="10">
        <f t="shared" si="24"/>
        <v>178.97319213870927</v>
      </c>
      <c r="K202" s="10">
        <f t="shared" si="25"/>
        <v>18986.30952724957</v>
      </c>
      <c r="L202" s="10">
        <f t="shared" si="26"/>
        <v>32013.690472750437</v>
      </c>
      <c r="M202" s="13"/>
      <c r="N202" s="13"/>
    </row>
    <row r="203" spans="5:14" x14ac:dyDescent="0.3">
      <c r="E203" s="15">
        <f t="shared" si="27"/>
        <v>17</v>
      </c>
      <c r="F203" s="15" t="s">
        <v>36</v>
      </c>
      <c r="G203" s="15">
        <f t="shared" si="23"/>
        <v>201</v>
      </c>
      <c r="H203" s="10">
        <f t="shared" si="21"/>
        <v>201.1904855407102</v>
      </c>
      <c r="I203" s="10">
        <f t="shared" si="22"/>
        <v>22.009819294832383</v>
      </c>
      <c r="J203" s="10">
        <f t="shared" si="24"/>
        <v>179.18066624587783</v>
      </c>
      <c r="K203" s="10">
        <f t="shared" si="25"/>
        <v>18807.128861003694</v>
      </c>
      <c r="L203" s="10">
        <f t="shared" si="26"/>
        <v>32192.871138996314</v>
      </c>
      <c r="M203" s="13"/>
      <c r="N203" s="13"/>
    </row>
    <row r="204" spans="5:14" x14ac:dyDescent="0.3">
      <c r="E204" s="15">
        <f t="shared" si="27"/>
        <v>17</v>
      </c>
      <c r="F204" s="15" t="s">
        <v>37</v>
      </c>
      <c r="G204" s="15">
        <f t="shared" si="23"/>
        <v>202</v>
      </c>
      <c r="H204" s="10">
        <f t="shared" ref="H204:H267" si="28">IF(G204&lt;=$B$18,PMT($B$11,$B$18-G203,-K203)+M204,"")</f>
        <v>201.19048554071023</v>
      </c>
      <c r="I204" s="10">
        <f t="shared" ref="I204:I267" si="29">IF(G204&lt;=$B$18,K203*$B$11,"")</f>
        <v>21.802104673960997</v>
      </c>
      <c r="J204" s="10">
        <f t="shared" si="24"/>
        <v>179.38838086674923</v>
      </c>
      <c r="K204" s="10">
        <f t="shared" si="25"/>
        <v>18627.740480136945</v>
      </c>
      <c r="L204" s="10">
        <f t="shared" si="26"/>
        <v>32372.259519863062</v>
      </c>
      <c r="M204" s="13"/>
      <c r="N204" s="13"/>
    </row>
    <row r="205" spans="5:14" x14ac:dyDescent="0.3">
      <c r="E205" s="15">
        <f t="shared" si="27"/>
        <v>17</v>
      </c>
      <c r="F205" s="15" t="s">
        <v>38</v>
      </c>
      <c r="G205" s="15">
        <f t="shared" si="23"/>
        <v>203</v>
      </c>
      <c r="H205" s="10">
        <f t="shared" si="28"/>
        <v>201.19048554071023</v>
      </c>
      <c r="I205" s="10">
        <f t="shared" si="29"/>
        <v>21.594149260572049</v>
      </c>
      <c r="J205" s="10">
        <f t="shared" si="24"/>
        <v>179.59633628013819</v>
      </c>
      <c r="K205" s="10">
        <f t="shared" si="25"/>
        <v>18448.144143856807</v>
      </c>
      <c r="L205" s="10">
        <f t="shared" si="26"/>
        <v>32551.8558561432</v>
      </c>
      <c r="M205" s="13"/>
      <c r="N205" s="13"/>
    </row>
    <row r="206" spans="5:14" x14ac:dyDescent="0.3">
      <c r="E206" s="15">
        <f t="shared" si="27"/>
        <v>17</v>
      </c>
      <c r="F206" s="15" t="s">
        <v>27</v>
      </c>
      <c r="G206" s="15">
        <f t="shared" si="23"/>
        <v>204</v>
      </c>
      <c r="H206" s="10">
        <f t="shared" si="28"/>
        <v>201.19048554071023</v>
      </c>
      <c r="I206" s="10">
        <f t="shared" si="29"/>
        <v>21.385952775527574</v>
      </c>
      <c r="J206" s="10">
        <f t="shared" si="24"/>
        <v>179.80453276518264</v>
      </c>
      <c r="K206" s="10">
        <f t="shared" si="25"/>
        <v>18268.339611091626</v>
      </c>
      <c r="L206" s="10">
        <f t="shared" si="26"/>
        <v>32731.660388908382</v>
      </c>
      <c r="M206" s="13"/>
      <c r="N206" s="13"/>
    </row>
    <row r="207" spans="5:14" x14ac:dyDescent="0.3">
      <c r="E207" s="15">
        <f t="shared" si="27"/>
        <v>18</v>
      </c>
      <c r="F207" s="15" t="s">
        <v>28</v>
      </c>
      <c r="G207" s="15">
        <f t="shared" si="23"/>
        <v>205</v>
      </c>
      <c r="H207" s="10">
        <f t="shared" si="28"/>
        <v>201.19048554071028</v>
      </c>
      <c r="I207" s="10">
        <f t="shared" si="29"/>
        <v>21.17751493936602</v>
      </c>
      <c r="J207" s="10">
        <f t="shared" si="24"/>
        <v>180.01297060134425</v>
      </c>
      <c r="K207" s="10">
        <f t="shared" si="25"/>
        <v>18088.326640490282</v>
      </c>
      <c r="L207" s="10">
        <f t="shared" si="26"/>
        <v>32911.673359509725</v>
      </c>
      <c r="M207" s="13"/>
      <c r="N207" s="13"/>
    </row>
    <row r="208" spans="5:14" x14ac:dyDescent="0.3">
      <c r="E208" s="15">
        <f t="shared" si="27"/>
        <v>18</v>
      </c>
      <c r="F208" s="15" t="s">
        <v>29</v>
      </c>
      <c r="G208" s="15">
        <f t="shared" si="23"/>
        <v>206</v>
      </c>
      <c r="H208" s="10">
        <f t="shared" si="28"/>
        <v>201.19048554071028</v>
      </c>
      <c r="I208" s="10">
        <f t="shared" si="29"/>
        <v>20.968835472301866</v>
      </c>
      <c r="J208" s="10">
        <f t="shared" si="24"/>
        <v>180.22165006840842</v>
      </c>
      <c r="K208" s="10">
        <f t="shared" si="25"/>
        <v>17908.104990421874</v>
      </c>
      <c r="L208" s="10">
        <f t="shared" si="26"/>
        <v>33091.895009578133</v>
      </c>
      <c r="M208" s="13"/>
      <c r="N208" s="13"/>
    </row>
    <row r="209" spans="5:14" x14ac:dyDescent="0.3">
      <c r="E209" s="15">
        <f t="shared" si="27"/>
        <v>18</v>
      </c>
      <c r="F209" s="15" t="s">
        <v>30</v>
      </c>
      <c r="G209" s="15">
        <f t="shared" si="23"/>
        <v>207</v>
      </c>
      <c r="H209" s="10">
        <f t="shared" si="28"/>
        <v>201.19048554071028</v>
      </c>
      <c r="I209" s="10">
        <f t="shared" si="29"/>
        <v>20.759914094225248</v>
      </c>
      <c r="J209" s="10">
        <f t="shared" si="24"/>
        <v>180.43057144648503</v>
      </c>
      <c r="K209" s="10">
        <f t="shared" si="25"/>
        <v>17727.674418975388</v>
      </c>
      <c r="L209" s="10">
        <f t="shared" si="26"/>
        <v>33272.325581024619</v>
      </c>
      <c r="M209" s="13"/>
      <c r="N209" s="13"/>
    </row>
    <row r="210" spans="5:14" x14ac:dyDescent="0.3">
      <c r="E210" s="15">
        <f t="shared" si="27"/>
        <v>18</v>
      </c>
      <c r="F210" s="15" t="s">
        <v>31</v>
      </c>
      <c r="G210" s="15">
        <f t="shared" si="23"/>
        <v>208</v>
      </c>
      <c r="H210" s="10">
        <f t="shared" si="28"/>
        <v>201.19048554071023</v>
      </c>
      <c r="I210" s="10">
        <f t="shared" si="29"/>
        <v>20.550750524701591</v>
      </c>
      <c r="J210" s="10">
        <f t="shared" si="24"/>
        <v>180.63973501600864</v>
      </c>
      <c r="K210" s="10">
        <f t="shared" si="25"/>
        <v>17547.03468395938</v>
      </c>
      <c r="L210" s="10">
        <f t="shared" si="26"/>
        <v>33452.965316040631</v>
      </c>
      <c r="M210" s="13"/>
      <c r="N210" s="13"/>
    </row>
    <row r="211" spans="5:14" x14ac:dyDescent="0.3">
      <c r="E211" s="15">
        <f t="shared" si="27"/>
        <v>18</v>
      </c>
      <c r="F211" s="15" t="s">
        <v>32</v>
      </c>
      <c r="G211" s="15">
        <f t="shared" si="23"/>
        <v>209</v>
      </c>
      <c r="H211" s="10">
        <f t="shared" si="28"/>
        <v>201.19048554071028</v>
      </c>
      <c r="I211" s="10">
        <f t="shared" si="29"/>
        <v>20.341344482971234</v>
      </c>
      <c r="J211" s="10">
        <f t="shared" si="24"/>
        <v>180.84914105773905</v>
      </c>
      <c r="K211" s="10">
        <f t="shared" si="25"/>
        <v>17366.18554290164</v>
      </c>
      <c r="L211" s="10">
        <f t="shared" si="26"/>
        <v>33633.814457098371</v>
      </c>
      <c r="M211" s="13"/>
      <c r="N211" s="13"/>
    </row>
    <row r="212" spans="5:14" x14ac:dyDescent="0.3">
      <c r="E212" s="15">
        <f t="shared" si="27"/>
        <v>18</v>
      </c>
      <c r="F212" s="15" t="s">
        <v>33</v>
      </c>
      <c r="G212" s="15">
        <f t="shared" si="23"/>
        <v>210</v>
      </c>
      <c r="H212" s="10">
        <f t="shared" si="28"/>
        <v>201.19048554071023</v>
      </c>
      <c r="I212" s="10">
        <f t="shared" si="29"/>
        <v>20.131695687949026</v>
      </c>
      <c r="J212" s="10">
        <f t="shared" si="24"/>
        <v>181.05878985276121</v>
      </c>
      <c r="K212" s="10">
        <f t="shared" si="25"/>
        <v>17185.126753048877</v>
      </c>
      <c r="L212" s="10">
        <f t="shared" si="26"/>
        <v>33814.873246951131</v>
      </c>
      <c r="M212" s="13"/>
      <c r="N212" s="13"/>
    </row>
    <row r="213" spans="5:14" x14ac:dyDescent="0.3">
      <c r="E213" s="15">
        <f t="shared" si="27"/>
        <v>18</v>
      </c>
      <c r="F213" s="15" t="s">
        <v>34</v>
      </c>
      <c r="G213" s="15">
        <f t="shared" si="23"/>
        <v>211</v>
      </c>
      <c r="H213" s="10">
        <f t="shared" si="28"/>
        <v>201.19048554071023</v>
      </c>
      <c r="I213" s="10">
        <f t="shared" si="29"/>
        <v>19.921803858223988</v>
      </c>
      <c r="J213" s="10">
        <f t="shared" si="24"/>
        <v>181.26868168248623</v>
      </c>
      <c r="K213" s="10">
        <f t="shared" si="25"/>
        <v>17003.858071366391</v>
      </c>
      <c r="L213" s="10">
        <f t="shared" si="26"/>
        <v>33996.141928633617</v>
      </c>
      <c r="M213" s="13"/>
      <c r="N213" s="13"/>
    </row>
    <row r="214" spans="5:14" x14ac:dyDescent="0.3">
      <c r="E214" s="15">
        <f t="shared" si="27"/>
        <v>18</v>
      </c>
      <c r="F214" s="15" t="s">
        <v>35</v>
      </c>
      <c r="G214" s="15">
        <f t="shared" si="23"/>
        <v>212</v>
      </c>
      <c r="H214" s="10">
        <f t="shared" si="28"/>
        <v>201.1904855407102</v>
      </c>
      <c r="I214" s="10">
        <f t="shared" si="29"/>
        <v>19.711668712058909</v>
      </c>
      <c r="J214" s="10">
        <f t="shared" si="24"/>
        <v>181.4788168286513</v>
      </c>
      <c r="K214" s="10">
        <f t="shared" si="25"/>
        <v>16822.37925453774</v>
      </c>
      <c r="L214" s="10">
        <f t="shared" si="26"/>
        <v>34177.620745462271</v>
      </c>
      <c r="M214" s="13"/>
      <c r="N214" s="13"/>
    </row>
    <row r="215" spans="5:14" x14ac:dyDescent="0.3">
      <c r="E215" s="15">
        <f t="shared" si="27"/>
        <v>18</v>
      </c>
      <c r="F215" s="15" t="s">
        <v>36</v>
      </c>
      <c r="G215" s="15">
        <f t="shared" si="23"/>
        <v>213</v>
      </c>
      <c r="H215" s="10">
        <f t="shared" si="28"/>
        <v>201.19048554071028</v>
      </c>
      <c r="I215" s="10">
        <f t="shared" si="29"/>
        <v>19.501289967389976</v>
      </c>
      <c r="J215" s="10">
        <f t="shared" si="24"/>
        <v>181.68919557332032</v>
      </c>
      <c r="K215" s="10">
        <f t="shared" si="25"/>
        <v>16640.690058964421</v>
      </c>
      <c r="L215" s="10">
        <f t="shared" si="26"/>
        <v>34359.309941035594</v>
      </c>
      <c r="M215" s="13"/>
      <c r="N215" s="13"/>
    </row>
    <row r="216" spans="5:14" x14ac:dyDescent="0.3">
      <c r="E216" s="15">
        <f t="shared" si="27"/>
        <v>18</v>
      </c>
      <c r="F216" s="15" t="s">
        <v>37</v>
      </c>
      <c r="G216" s="15">
        <f t="shared" si="23"/>
        <v>214</v>
      </c>
      <c r="H216" s="10">
        <f t="shared" si="28"/>
        <v>201.19048554071023</v>
      </c>
      <c r="I216" s="10">
        <f t="shared" si="29"/>
        <v>19.290667341826392</v>
      </c>
      <c r="J216" s="10">
        <f t="shared" si="24"/>
        <v>181.89981819888385</v>
      </c>
      <c r="K216" s="10">
        <f t="shared" si="25"/>
        <v>16458.790240765538</v>
      </c>
      <c r="L216" s="10">
        <f t="shared" si="26"/>
        <v>34541.20975923448</v>
      </c>
      <c r="M216" s="13"/>
      <c r="N216" s="13"/>
    </row>
    <row r="217" spans="5:14" x14ac:dyDescent="0.3">
      <c r="E217" s="15">
        <f t="shared" si="27"/>
        <v>18</v>
      </c>
      <c r="F217" s="15" t="s">
        <v>38</v>
      </c>
      <c r="G217" s="15">
        <f t="shared" si="23"/>
        <v>215</v>
      </c>
      <c r="H217" s="10">
        <f t="shared" si="28"/>
        <v>201.19048554071028</v>
      </c>
      <c r="I217" s="10">
        <f t="shared" si="29"/>
        <v>19.079800552649999</v>
      </c>
      <c r="J217" s="10">
        <f t="shared" si="24"/>
        <v>182.11068498806029</v>
      </c>
      <c r="K217" s="10">
        <f t="shared" si="25"/>
        <v>16276.679555777479</v>
      </c>
      <c r="L217" s="10">
        <f t="shared" si="26"/>
        <v>34723.32044422254</v>
      </c>
      <c r="M217" s="13"/>
      <c r="N217" s="13"/>
    </row>
    <row r="218" spans="5:14" x14ac:dyDescent="0.3">
      <c r="E218" s="15">
        <f t="shared" si="27"/>
        <v>18</v>
      </c>
      <c r="F218" s="15" t="s">
        <v>27</v>
      </c>
      <c r="G218" s="15">
        <f t="shared" si="23"/>
        <v>216</v>
      </c>
      <c r="H218" s="10">
        <f t="shared" si="28"/>
        <v>201.19048554071028</v>
      </c>
      <c r="I218" s="10">
        <f t="shared" si="29"/>
        <v>18.868689316814901</v>
      </c>
      <c r="J218" s="10">
        <f t="shared" si="24"/>
        <v>182.32179622389538</v>
      </c>
      <c r="K218" s="10">
        <f t="shared" si="25"/>
        <v>16094.357759553583</v>
      </c>
      <c r="L218" s="10">
        <f t="shared" si="26"/>
        <v>34905.642240446432</v>
      </c>
      <c r="M218" s="13"/>
      <c r="N218" s="13"/>
    </row>
    <row r="219" spans="5:14" x14ac:dyDescent="0.3">
      <c r="E219" s="15">
        <f t="shared" si="27"/>
        <v>19</v>
      </c>
      <c r="F219" s="15" t="s">
        <v>28</v>
      </c>
      <c r="G219" s="15">
        <f t="shared" si="23"/>
        <v>217</v>
      </c>
      <c r="H219" s="10">
        <f t="shared" si="28"/>
        <v>201.19048554071028</v>
      </c>
      <c r="I219" s="10">
        <f t="shared" si="29"/>
        <v>18.657333350947081</v>
      </c>
      <c r="J219" s="10">
        <f t="shared" si="24"/>
        <v>182.5331521897632</v>
      </c>
      <c r="K219" s="10">
        <f t="shared" si="25"/>
        <v>15911.82460736382</v>
      </c>
      <c r="L219" s="10">
        <f t="shared" si="26"/>
        <v>35088.175392636193</v>
      </c>
      <c r="M219" s="13"/>
      <c r="N219" s="13"/>
    </row>
    <row r="220" spans="5:14" x14ac:dyDescent="0.3">
      <c r="E220" s="15">
        <f t="shared" si="27"/>
        <v>19</v>
      </c>
      <c r="F220" s="15" t="s">
        <v>29</v>
      </c>
      <c r="G220" s="15">
        <f t="shared" si="23"/>
        <v>218</v>
      </c>
      <c r="H220" s="10">
        <f t="shared" si="28"/>
        <v>201.19048554071031</v>
      </c>
      <c r="I220" s="10">
        <f t="shared" si="29"/>
        <v>18.445732371344029</v>
      </c>
      <c r="J220" s="10">
        <f t="shared" si="24"/>
        <v>182.74475316936628</v>
      </c>
      <c r="K220" s="10">
        <f t="shared" si="25"/>
        <v>15729.079854194453</v>
      </c>
      <c r="L220" s="10">
        <f t="shared" si="26"/>
        <v>35270.920145805561</v>
      </c>
      <c r="M220" s="13"/>
      <c r="N220" s="13"/>
    </row>
    <row r="221" spans="5:14" x14ac:dyDescent="0.3">
      <c r="E221" s="15">
        <f t="shared" si="27"/>
        <v>19</v>
      </c>
      <c r="F221" s="15" t="s">
        <v>30</v>
      </c>
      <c r="G221" s="15">
        <f t="shared" si="23"/>
        <v>219</v>
      </c>
      <c r="H221" s="10">
        <f t="shared" si="28"/>
        <v>201.19048554071031</v>
      </c>
      <c r="I221" s="10">
        <f t="shared" si="29"/>
        <v>18.233886093974338</v>
      </c>
      <c r="J221" s="10">
        <f t="shared" si="24"/>
        <v>182.95659944673596</v>
      </c>
      <c r="K221" s="10">
        <f t="shared" si="25"/>
        <v>15546.123254747718</v>
      </c>
      <c r="L221" s="10">
        <f t="shared" si="26"/>
        <v>35453.876745252295</v>
      </c>
      <c r="M221" s="13"/>
      <c r="N221" s="13"/>
    </row>
    <row r="222" spans="5:14" x14ac:dyDescent="0.3">
      <c r="E222" s="15">
        <f t="shared" si="27"/>
        <v>19</v>
      </c>
      <c r="F222" s="15" t="s">
        <v>31</v>
      </c>
      <c r="G222" s="15">
        <f t="shared" si="23"/>
        <v>220</v>
      </c>
      <c r="H222" s="10">
        <f t="shared" si="28"/>
        <v>201.19048554071028</v>
      </c>
      <c r="I222" s="10">
        <f t="shared" si="29"/>
        <v>18.021794234477351</v>
      </c>
      <c r="J222" s="10">
        <f t="shared" si="24"/>
        <v>183.16869130623294</v>
      </c>
      <c r="K222" s="10">
        <f t="shared" si="25"/>
        <v>15362.954563441484</v>
      </c>
      <c r="L222" s="10">
        <f t="shared" si="26"/>
        <v>35637.045436558525</v>
      </c>
      <c r="M222" s="13"/>
      <c r="N222" s="13"/>
    </row>
    <row r="223" spans="5:14" x14ac:dyDescent="0.3">
      <c r="E223" s="15">
        <f t="shared" si="27"/>
        <v>19</v>
      </c>
      <c r="F223" s="15" t="s">
        <v>32</v>
      </c>
      <c r="G223" s="15">
        <f t="shared" si="23"/>
        <v>221</v>
      </c>
      <c r="H223" s="10">
        <f t="shared" si="28"/>
        <v>201.19048554071028</v>
      </c>
      <c r="I223" s="10">
        <f t="shared" si="29"/>
        <v>17.809456508162768</v>
      </c>
      <c r="J223" s="10">
        <f t="shared" si="24"/>
        <v>183.38102903254753</v>
      </c>
      <c r="K223" s="10">
        <f t="shared" si="25"/>
        <v>15179.573534408937</v>
      </c>
      <c r="L223" s="10">
        <f t="shared" si="26"/>
        <v>35820.426465591074</v>
      </c>
      <c r="M223" s="13"/>
      <c r="N223" s="13"/>
    </row>
    <row r="224" spans="5:14" x14ac:dyDescent="0.3">
      <c r="E224" s="15">
        <f t="shared" si="27"/>
        <v>19</v>
      </c>
      <c r="F224" s="15" t="s">
        <v>33</v>
      </c>
      <c r="G224" s="15">
        <f t="shared" si="23"/>
        <v>222</v>
      </c>
      <c r="H224" s="10">
        <f t="shared" si="28"/>
        <v>201.19048554071028</v>
      </c>
      <c r="I224" s="10">
        <f t="shared" si="29"/>
        <v>17.59687263001025</v>
      </c>
      <c r="J224" s="10">
        <f t="shared" si="24"/>
        <v>183.59361291070005</v>
      </c>
      <c r="K224" s="10">
        <f t="shared" si="25"/>
        <v>14995.979921498238</v>
      </c>
      <c r="L224" s="10">
        <f t="shared" si="26"/>
        <v>36004.020078501773</v>
      </c>
      <c r="M224" s="13"/>
      <c r="N224" s="13"/>
    </row>
    <row r="225" spans="5:14" x14ac:dyDescent="0.3">
      <c r="E225" s="15">
        <f t="shared" si="27"/>
        <v>19</v>
      </c>
      <c r="F225" s="15" t="s">
        <v>34</v>
      </c>
      <c r="G225" s="15">
        <f t="shared" si="23"/>
        <v>223</v>
      </c>
      <c r="H225" s="10">
        <f t="shared" si="28"/>
        <v>201.19048554071031</v>
      </c>
      <c r="I225" s="10">
        <f t="shared" si="29"/>
        <v>17.384042314669063</v>
      </c>
      <c r="J225" s="10">
        <f t="shared" si="24"/>
        <v>183.80644322604124</v>
      </c>
      <c r="K225" s="10">
        <f t="shared" si="25"/>
        <v>14812.173478272196</v>
      </c>
      <c r="L225" s="10">
        <f t="shared" si="26"/>
        <v>36187.826521727817</v>
      </c>
      <c r="M225" s="13"/>
      <c r="N225" s="13"/>
    </row>
    <row r="226" spans="5:14" x14ac:dyDescent="0.3">
      <c r="E226" s="15">
        <f t="shared" si="27"/>
        <v>19</v>
      </c>
      <c r="F226" s="15" t="s">
        <v>35</v>
      </c>
      <c r="G226" s="15">
        <f t="shared" si="23"/>
        <v>224</v>
      </c>
      <c r="H226" s="10">
        <f t="shared" si="28"/>
        <v>201.19048554071028</v>
      </c>
      <c r="I226" s="10">
        <f t="shared" si="29"/>
        <v>17.170965276457675</v>
      </c>
      <c r="J226" s="10">
        <f t="shared" si="24"/>
        <v>184.01952026425261</v>
      </c>
      <c r="K226" s="10">
        <f t="shared" si="25"/>
        <v>14628.153958007944</v>
      </c>
      <c r="L226" s="10">
        <f t="shared" si="26"/>
        <v>36371.846041992067</v>
      </c>
      <c r="M226" s="13"/>
      <c r="N226" s="13"/>
    </row>
    <row r="227" spans="5:14" x14ac:dyDescent="0.3">
      <c r="E227" s="15">
        <f t="shared" si="27"/>
        <v>19</v>
      </c>
      <c r="F227" s="15" t="s">
        <v>36</v>
      </c>
      <c r="G227" s="15">
        <f t="shared" si="23"/>
        <v>225</v>
      </c>
      <c r="H227" s="10">
        <f t="shared" si="28"/>
        <v>201.19048554071031</v>
      </c>
      <c r="I227" s="10">
        <f t="shared" si="29"/>
        <v>16.957641229363375</v>
      </c>
      <c r="J227" s="10">
        <f t="shared" si="24"/>
        <v>184.23284431134692</v>
      </c>
      <c r="K227" s="10">
        <f t="shared" si="25"/>
        <v>14443.921113696597</v>
      </c>
      <c r="L227" s="10">
        <f t="shared" si="26"/>
        <v>36556.07888630341</v>
      </c>
      <c r="M227" s="13"/>
      <c r="N227" s="13"/>
    </row>
    <row r="228" spans="5:14" x14ac:dyDescent="0.3">
      <c r="E228" s="15">
        <f t="shared" si="27"/>
        <v>19</v>
      </c>
      <c r="F228" s="15" t="s">
        <v>37</v>
      </c>
      <c r="G228" s="15">
        <f t="shared" si="23"/>
        <v>226</v>
      </c>
      <c r="H228" s="10">
        <f t="shared" si="28"/>
        <v>201.19048554071028</v>
      </c>
      <c r="I228" s="10">
        <f t="shared" si="29"/>
        <v>16.744069887041896</v>
      </c>
      <c r="J228" s="10">
        <f t="shared" si="24"/>
        <v>184.4464156536684</v>
      </c>
      <c r="K228" s="10">
        <f t="shared" si="25"/>
        <v>14259.474698042928</v>
      </c>
      <c r="L228" s="10">
        <f t="shared" si="26"/>
        <v>36740.525301957081</v>
      </c>
      <c r="M228" s="13"/>
      <c r="N228" s="13"/>
    </row>
    <row r="229" spans="5:14" x14ac:dyDescent="0.3">
      <c r="E229" s="15">
        <f t="shared" si="27"/>
        <v>19</v>
      </c>
      <c r="F229" s="15" t="s">
        <v>38</v>
      </c>
      <c r="G229" s="15">
        <f t="shared" si="23"/>
        <v>227</v>
      </c>
      <c r="H229" s="10">
        <f t="shared" si="28"/>
        <v>201.19048554071031</v>
      </c>
      <c r="I229" s="10">
        <f t="shared" si="29"/>
        <v>16.530250962817032</v>
      </c>
      <c r="J229" s="10">
        <f t="shared" si="24"/>
        <v>184.66023457789328</v>
      </c>
      <c r="K229" s="10">
        <f t="shared" si="25"/>
        <v>14074.814463465034</v>
      </c>
      <c r="L229" s="10">
        <f t="shared" si="26"/>
        <v>36925.185536534977</v>
      </c>
      <c r="M229" s="13"/>
      <c r="N229" s="13"/>
    </row>
    <row r="230" spans="5:14" x14ac:dyDescent="0.3">
      <c r="E230" s="15">
        <f t="shared" si="27"/>
        <v>19</v>
      </c>
      <c r="F230" s="15" t="s">
        <v>27</v>
      </c>
      <c r="G230" s="15">
        <f t="shared" si="23"/>
        <v>228</v>
      </c>
      <c r="H230" s="10">
        <f t="shared" si="28"/>
        <v>201.19048554071028</v>
      </c>
      <c r="I230" s="10">
        <f t="shared" si="29"/>
        <v>16.316184169680241</v>
      </c>
      <c r="J230" s="10">
        <f t="shared" si="24"/>
        <v>184.87430137103004</v>
      </c>
      <c r="K230" s="10">
        <f t="shared" si="25"/>
        <v>13889.940162094004</v>
      </c>
      <c r="L230" s="10">
        <f t="shared" si="26"/>
        <v>37110.05983790601</v>
      </c>
      <c r="M230" s="13"/>
      <c r="N230" s="13"/>
    </row>
    <row r="231" spans="5:14" x14ac:dyDescent="0.3">
      <c r="E231" s="15">
        <f t="shared" si="27"/>
        <v>20</v>
      </c>
      <c r="F231" s="15" t="s">
        <v>28</v>
      </c>
      <c r="G231" s="15">
        <f t="shared" si="23"/>
        <v>229</v>
      </c>
      <c r="H231" s="10">
        <f t="shared" si="28"/>
        <v>201.19048554071028</v>
      </c>
      <c r="I231" s="10">
        <f t="shared" si="29"/>
        <v>16.101869220290276</v>
      </c>
      <c r="J231" s="10">
        <f t="shared" si="24"/>
        <v>185.08861632042002</v>
      </c>
      <c r="K231" s="10">
        <f t="shared" si="25"/>
        <v>13704.851545773585</v>
      </c>
      <c r="L231" s="10">
        <f t="shared" si="26"/>
        <v>37295.14845422643</v>
      </c>
      <c r="M231" s="13"/>
      <c r="N231" s="13"/>
    </row>
    <row r="232" spans="5:14" x14ac:dyDescent="0.3">
      <c r="E232" s="15">
        <f t="shared" si="27"/>
        <v>20</v>
      </c>
      <c r="F232" s="15" t="s">
        <v>29</v>
      </c>
      <c r="G232" s="15">
        <f t="shared" si="23"/>
        <v>230</v>
      </c>
      <c r="H232" s="10">
        <f t="shared" si="28"/>
        <v>201.19048554071028</v>
      </c>
      <c r="I232" s="10">
        <f t="shared" si="29"/>
        <v>15.887305826972778</v>
      </c>
      <c r="J232" s="10">
        <f t="shared" si="24"/>
        <v>185.30317971373751</v>
      </c>
      <c r="K232" s="10">
        <f t="shared" si="25"/>
        <v>13519.548366059847</v>
      </c>
      <c r="L232" s="10">
        <f t="shared" si="26"/>
        <v>37480.451633940167</v>
      </c>
      <c r="M232" s="13"/>
      <c r="N232" s="13"/>
    </row>
    <row r="233" spans="5:14" x14ac:dyDescent="0.3">
      <c r="E233" s="15">
        <f t="shared" si="27"/>
        <v>20</v>
      </c>
      <c r="F233" s="15" t="s">
        <v>30</v>
      </c>
      <c r="G233" s="15">
        <f t="shared" si="23"/>
        <v>231</v>
      </c>
      <c r="H233" s="10">
        <f t="shared" si="28"/>
        <v>201.19048554071023</v>
      </c>
      <c r="I233" s="10">
        <f t="shared" si="29"/>
        <v>15.672493701719912</v>
      </c>
      <c r="J233" s="10">
        <f t="shared" si="24"/>
        <v>185.51799183899033</v>
      </c>
      <c r="K233" s="10">
        <f t="shared" si="25"/>
        <v>13334.030374220858</v>
      </c>
      <c r="L233" s="10">
        <f t="shared" si="26"/>
        <v>37665.969625779158</v>
      </c>
      <c r="M233" s="13"/>
      <c r="N233" s="13"/>
    </row>
    <row r="234" spans="5:14" x14ac:dyDescent="0.3">
      <c r="E234" s="15">
        <f t="shared" si="27"/>
        <v>20</v>
      </c>
      <c r="F234" s="15" t="s">
        <v>31</v>
      </c>
      <c r="G234" s="15">
        <f t="shared" si="23"/>
        <v>232</v>
      </c>
      <c r="H234" s="10">
        <f t="shared" si="28"/>
        <v>201.19048554071031</v>
      </c>
      <c r="I234" s="10">
        <f t="shared" si="29"/>
        <v>15.457432556189969</v>
      </c>
      <c r="J234" s="10">
        <f t="shared" si="24"/>
        <v>185.73305298452036</v>
      </c>
      <c r="K234" s="10">
        <f t="shared" si="25"/>
        <v>13148.297321236338</v>
      </c>
      <c r="L234" s="10">
        <f t="shared" si="26"/>
        <v>37851.702678763679</v>
      </c>
      <c r="M234" s="13"/>
      <c r="N234" s="13"/>
    </row>
    <row r="235" spans="5:14" x14ac:dyDescent="0.3">
      <c r="E235" s="15">
        <f t="shared" si="27"/>
        <v>20</v>
      </c>
      <c r="F235" s="15" t="s">
        <v>32</v>
      </c>
      <c r="G235" s="15">
        <f t="shared" si="23"/>
        <v>233</v>
      </c>
      <c r="H235" s="10">
        <f t="shared" si="28"/>
        <v>201.19048554071028</v>
      </c>
      <c r="I235" s="10">
        <f t="shared" si="29"/>
        <v>15.242122101706981</v>
      </c>
      <c r="J235" s="10">
        <f t="shared" si="24"/>
        <v>185.94836343900332</v>
      </c>
      <c r="K235" s="10">
        <f t="shared" si="25"/>
        <v>12962.348957797334</v>
      </c>
      <c r="L235" s="10">
        <f t="shared" si="26"/>
        <v>38037.651042202684</v>
      </c>
      <c r="M235" s="13"/>
      <c r="N235" s="13"/>
    </row>
    <row r="236" spans="5:14" x14ac:dyDescent="0.3">
      <c r="E236" s="15">
        <f t="shared" si="27"/>
        <v>20</v>
      </c>
      <c r="F236" s="15" t="s">
        <v>33</v>
      </c>
      <c r="G236" s="15">
        <f t="shared" si="23"/>
        <v>234</v>
      </c>
      <c r="H236" s="10">
        <f t="shared" si="28"/>
        <v>201.19048554071031</v>
      </c>
      <c r="I236" s="10">
        <f t="shared" si="29"/>
        <v>15.026562049260329</v>
      </c>
      <c r="J236" s="10">
        <f t="shared" si="24"/>
        <v>186.16392349144999</v>
      </c>
      <c r="K236" s="10">
        <f t="shared" si="25"/>
        <v>12776.185034305885</v>
      </c>
      <c r="L236" s="10">
        <f t="shared" si="26"/>
        <v>38223.814965694131</v>
      </c>
      <c r="M236" s="13"/>
      <c r="N236" s="13"/>
    </row>
    <row r="237" spans="5:14" x14ac:dyDescent="0.3">
      <c r="E237" s="15">
        <f t="shared" si="27"/>
        <v>20</v>
      </c>
      <c r="F237" s="15" t="s">
        <v>34</v>
      </c>
      <c r="G237" s="15">
        <f t="shared" si="23"/>
        <v>235</v>
      </c>
      <c r="H237" s="10">
        <f t="shared" si="28"/>
        <v>201.19048554071031</v>
      </c>
      <c r="I237" s="10">
        <f t="shared" si="29"/>
        <v>14.810752109504365</v>
      </c>
      <c r="J237" s="10">
        <f t="shared" si="24"/>
        <v>186.37973343120595</v>
      </c>
      <c r="K237" s="10">
        <f t="shared" si="25"/>
        <v>12589.805300874679</v>
      </c>
      <c r="L237" s="10">
        <f t="shared" si="26"/>
        <v>38410.194699125335</v>
      </c>
      <c r="M237" s="13"/>
      <c r="N237" s="13"/>
    </row>
    <row r="238" spans="5:14" x14ac:dyDescent="0.3">
      <c r="E238" s="15">
        <f t="shared" si="27"/>
        <v>20</v>
      </c>
      <c r="F238" s="15" t="s">
        <v>35</v>
      </c>
      <c r="G238" s="15">
        <f t="shared" si="23"/>
        <v>236</v>
      </c>
      <c r="H238" s="10">
        <f t="shared" si="28"/>
        <v>201.19048554071031</v>
      </c>
      <c r="I238" s="10">
        <f t="shared" si="29"/>
        <v>14.594691992758015</v>
      </c>
      <c r="J238" s="10">
        <f t="shared" si="24"/>
        <v>186.5957935479523</v>
      </c>
      <c r="K238" s="10">
        <f t="shared" si="25"/>
        <v>12403.209507326726</v>
      </c>
      <c r="L238" s="10">
        <f t="shared" si="26"/>
        <v>38596.790492673288</v>
      </c>
      <c r="M238" s="13"/>
      <c r="N238" s="13"/>
    </row>
    <row r="239" spans="5:14" x14ac:dyDescent="0.3">
      <c r="E239" s="15">
        <f t="shared" si="27"/>
        <v>20</v>
      </c>
      <c r="F239" s="15" t="s">
        <v>36</v>
      </c>
      <c r="G239" s="15">
        <f t="shared" si="23"/>
        <v>237</v>
      </c>
      <c r="H239" s="10">
        <f t="shared" si="28"/>
        <v>201.19048554071031</v>
      </c>
      <c r="I239" s="10">
        <f t="shared" si="29"/>
        <v>14.378381409004396</v>
      </c>
      <c r="J239" s="10">
        <f t="shared" si="24"/>
        <v>186.81210413170592</v>
      </c>
      <c r="K239" s="10">
        <f t="shared" si="25"/>
        <v>12216.39740319502</v>
      </c>
      <c r="L239" s="10">
        <f t="shared" si="26"/>
        <v>38783.602596804994</v>
      </c>
      <c r="M239" s="13"/>
      <c r="N239" s="13"/>
    </row>
    <row r="240" spans="5:14" x14ac:dyDescent="0.3">
      <c r="E240" s="15">
        <f t="shared" si="27"/>
        <v>20</v>
      </c>
      <c r="F240" s="15" t="s">
        <v>37</v>
      </c>
      <c r="G240" s="15">
        <f t="shared" si="23"/>
        <v>238</v>
      </c>
      <c r="H240" s="10">
        <f t="shared" si="28"/>
        <v>201.19048554071028</v>
      </c>
      <c r="I240" s="10">
        <f t="shared" si="29"/>
        <v>14.161820067890417</v>
      </c>
      <c r="J240" s="10">
        <f t="shared" si="24"/>
        <v>187.02866547281985</v>
      </c>
      <c r="K240" s="10">
        <f t="shared" si="25"/>
        <v>12029.3687377222</v>
      </c>
      <c r="L240" s="10">
        <f t="shared" si="26"/>
        <v>38970.631262277813</v>
      </c>
      <c r="M240" s="13"/>
      <c r="N240" s="13"/>
    </row>
    <row r="241" spans="5:14" x14ac:dyDescent="0.3">
      <c r="E241" s="15">
        <f t="shared" si="27"/>
        <v>20</v>
      </c>
      <c r="F241" s="15" t="s">
        <v>38</v>
      </c>
      <c r="G241" s="15">
        <f t="shared" si="23"/>
        <v>239</v>
      </c>
      <c r="H241" s="10">
        <f t="shared" si="28"/>
        <v>201.19048554071028</v>
      </c>
      <c r="I241" s="10">
        <f t="shared" si="29"/>
        <v>13.945007678726403</v>
      </c>
      <c r="J241" s="10">
        <f t="shared" si="24"/>
        <v>187.24547786198389</v>
      </c>
      <c r="K241" s="10">
        <f t="shared" si="25"/>
        <v>11842.123259860216</v>
      </c>
      <c r="L241" s="10">
        <f t="shared" si="26"/>
        <v>39157.8767401398</v>
      </c>
      <c r="M241" s="13"/>
      <c r="N241" s="13"/>
    </row>
    <row r="242" spans="5:14" x14ac:dyDescent="0.3">
      <c r="E242" s="15">
        <f t="shared" si="27"/>
        <v>20</v>
      </c>
      <c r="F242" s="15" t="s">
        <v>27</v>
      </c>
      <c r="G242" s="15">
        <f t="shared" si="23"/>
        <v>240</v>
      </c>
      <c r="H242" s="10">
        <f t="shared" si="28"/>
        <v>201.19048554071028</v>
      </c>
      <c r="I242" s="10">
        <f t="shared" si="29"/>
        <v>13.727943950485701</v>
      </c>
      <c r="J242" s="10">
        <f t="shared" si="24"/>
        <v>187.46254159022459</v>
      </c>
      <c r="K242" s="10">
        <f t="shared" si="25"/>
        <v>11654.660718269992</v>
      </c>
      <c r="L242" s="10">
        <f t="shared" si="26"/>
        <v>39345.339281730026</v>
      </c>
      <c r="M242" s="13"/>
      <c r="N242" s="13"/>
    </row>
    <row r="243" spans="5:14" x14ac:dyDescent="0.3">
      <c r="E243" s="15">
        <f t="shared" si="27"/>
        <v>21</v>
      </c>
      <c r="F243" s="15" t="s">
        <v>28</v>
      </c>
      <c r="G243" s="15">
        <f t="shared" si="23"/>
        <v>241</v>
      </c>
      <c r="H243" s="10">
        <f t="shared" si="28"/>
        <v>201.19048554071028</v>
      </c>
      <c r="I243" s="10">
        <f t="shared" si="29"/>
        <v>13.510628591804274</v>
      </c>
      <c r="J243" s="10">
        <f t="shared" si="24"/>
        <v>187.67985694890601</v>
      </c>
      <c r="K243" s="10">
        <f t="shared" si="25"/>
        <v>11466.980861321086</v>
      </c>
      <c r="L243" s="10">
        <f t="shared" si="26"/>
        <v>39533.01913867893</v>
      </c>
      <c r="M243" s="13"/>
      <c r="N243" s="13"/>
    </row>
    <row r="244" spans="5:14" x14ac:dyDescent="0.3">
      <c r="E244" s="15">
        <f t="shared" si="27"/>
        <v>21</v>
      </c>
      <c r="F244" s="15" t="s">
        <v>29</v>
      </c>
      <c r="G244" s="15">
        <f t="shared" si="23"/>
        <v>242</v>
      </c>
      <c r="H244" s="10">
        <f t="shared" si="28"/>
        <v>201.19048554071028</v>
      </c>
      <c r="I244" s="10">
        <f t="shared" si="29"/>
        <v>13.293061310980331</v>
      </c>
      <c r="J244" s="10">
        <f t="shared" si="24"/>
        <v>187.89742422972995</v>
      </c>
      <c r="K244" s="10">
        <f t="shared" si="25"/>
        <v>11279.083437091356</v>
      </c>
      <c r="L244" s="10">
        <f t="shared" si="26"/>
        <v>39720.916562908664</v>
      </c>
      <c r="M244" s="13"/>
      <c r="N244" s="13"/>
    </row>
    <row r="245" spans="5:14" x14ac:dyDescent="0.3">
      <c r="E245" s="15">
        <f t="shared" si="27"/>
        <v>21</v>
      </c>
      <c r="F245" s="15" t="s">
        <v>30</v>
      </c>
      <c r="G245" s="15">
        <f t="shared" si="23"/>
        <v>243</v>
      </c>
      <c r="H245" s="10">
        <f t="shared" si="28"/>
        <v>201.19048554071031</v>
      </c>
      <c r="I245" s="10">
        <f t="shared" si="29"/>
        <v>13.075241815973925</v>
      </c>
      <c r="J245" s="10">
        <f t="shared" si="24"/>
        <v>188.11524372473639</v>
      </c>
      <c r="K245" s="10">
        <f t="shared" si="25"/>
        <v>11090.96819336662</v>
      </c>
      <c r="L245" s="10">
        <f t="shared" si="26"/>
        <v>39909.0318066334</v>
      </c>
      <c r="M245" s="13"/>
      <c r="N245" s="13"/>
    </row>
    <row r="246" spans="5:14" x14ac:dyDescent="0.3">
      <c r="E246" s="15">
        <f t="shared" si="27"/>
        <v>21</v>
      </c>
      <c r="F246" s="15" t="s">
        <v>31</v>
      </c>
      <c r="G246" s="15">
        <f t="shared" si="23"/>
        <v>244</v>
      </c>
      <c r="H246" s="10">
        <f t="shared" si="28"/>
        <v>201.19048554071028</v>
      </c>
      <c r="I246" s="10">
        <f t="shared" si="29"/>
        <v>12.857169814406561</v>
      </c>
      <c r="J246" s="10">
        <f t="shared" si="24"/>
        <v>188.33331572630374</v>
      </c>
      <c r="K246" s="10">
        <f t="shared" si="25"/>
        <v>10902.634877640316</v>
      </c>
      <c r="L246" s="10">
        <f t="shared" si="26"/>
        <v>40097.365122359704</v>
      </c>
      <c r="M246" s="13"/>
      <c r="N246" s="13"/>
    </row>
    <row r="247" spans="5:14" x14ac:dyDescent="0.3">
      <c r="E247" s="15">
        <f t="shared" si="27"/>
        <v>21</v>
      </c>
      <c r="F247" s="15" t="s">
        <v>32</v>
      </c>
      <c r="G247" s="15">
        <f t="shared" si="23"/>
        <v>245</v>
      </c>
      <c r="H247" s="10">
        <f t="shared" si="28"/>
        <v>201.19048554071031</v>
      </c>
      <c r="I247" s="10">
        <f t="shared" si="29"/>
        <v>12.638845013560809</v>
      </c>
      <c r="J247" s="10">
        <f t="shared" si="24"/>
        <v>188.55164052714952</v>
      </c>
      <c r="K247" s="10">
        <f t="shared" si="25"/>
        <v>10714.083237113166</v>
      </c>
      <c r="L247" s="10">
        <f t="shared" si="26"/>
        <v>40285.916762886853</v>
      </c>
      <c r="M247" s="13"/>
      <c r="N247" s="13"/>
    </row>
    <row r="248" spans="5:14" x14ac:dyDescent="0.3">
      <c r="E248" s="15">
        <f t="shared" si="27"/>
        <v>21</v>
      </c>
      <c r="F248" s="15" t="s">
        <v>33</v>
      </c>
      <c r="G248" s="15">
        <f t="shared" si="23"/>
        <v>246</v>
      </c>
      <c r="H248" s="10">
        <f t="shared" si="28"/>
        <v>201.19048554071028</v>
      </c>
      <c r="I248" s="10">
        <f t="shared" si="29"/>
        <v>12.420267120379904</v>
      </c>
      <c r="J248" s="10">
        <f t="shared" si="24"/>
        <v>188.77021842033037</v>
      </c>
      <c r="K248" s="10">
        <f t="shared" si="25"/>
        <v>10525.313018692836</v>
      </c>
      <c r="L248" s="10">
        <f t="shared" si="26"/>
        <v>40474.686981307183</v>
      </c>
      <c r="M248" s="13"/>
      <c r="N248" s="13"/>
    </row>
    <row r="249" spans="5:14" x14ac:dyDescent="0.3">
      <c r="E249" s="15">
        <f t="shared" si="27"/>
        <v>21</v>
      </c>
      <c r="F249" s="15" t="s">
        <v>34</v>
      </c>
      <c r="G249" s="15">
        <f t="shared" si="23"/>
        <v>247</v>
      </c>
      <c r="H249" s="10">
        <f t="shared" si="28"/>
        <v>201.19048554071028</v>
      </c>
      <c r="I249" s="10">
        <f t="shared" si="29"/>
        <v>12.201435841467356</v>
      </c>
      <c r="J249" s="10">
        <f t="shared" si="24"/>
        <v>188.98904969924294</v>
      </c>
      <c r="K249" s="10">
        <f t="shared" si="25"/>
        <v>10336.323968993593</v>
      </c>
      <c r="L249" s="10">
        <f t="shared" si="26"/>
        <v>40663.676031006427</v>
      </c>
      <c r="M249" s="13"/>
      <c r="N249" s="13"/>
    </row>
    <row r="250" spans="5:14" x14ac:dyDescent="0.3">
      <c r="E250" s="15">
        <f t="shared" si="27"/>
        <v>21</v>
      </c>
      <c r="F250" s="15" t="s">
        <v>35</v>
      </c>
      <c r="G250" s="15">
        <f t="shared" si="23"/>
        <v>248</v>
      </c>
      <c r="H250" s="10">
        <f t="shared" si="28"/>
        <v>201.19048554071031</v>
      </c>
      <c r="I250" s="10">
        <f t="shared" si="29"/>
        <v>11.982350883086559</v>
      </c>
      <c r="J250" s="10">
        <f t="shared" si="24"/>
        <v>189.20813465762376</v>
      </c>
      <c r="K250" s="10">
        <f t="shared" si="25"/>
        <v>10147.115834335969</v>
      </c>
      <c r="L250" s="10">
        <f t="shared" si="26"/>
        <v>40852.884165664051</v>
      </c>
      <c r="M250" s="13"/>
      <c r="N250" s="13"/>
    </row>
    <row r="251" spans="5:14" x14ac:dyDescent="0.3">
      <c r="E251" s="15">
        <f t="shared" si="27"/>
        <v>21</v>
      </c>
      <c r="F251" s="15" t="s">
        <v>36</v>
      </c>
      <c r="G251" s="15">
        <f t="shared" si="23"/>
        <v>249</v>
      </c>
      <c r="H251" s="10">
        <f t="shared" si="28"/>
        <v>201.19048554071028</v>
      </c>
      <c r="I251" s="10">
        <f t="shared" si="29"/>
        <v>11.763011951160387</v>
      </c>
      <c r="J251" s="10">
        <f t="shared" si="24"/>
        <v>189.42747358954989</v>
      </c>
      <c r="K251" s="10">
        <f t="shared" si="25"/>
        <v>9957.6883607464188</v>
      </c>
      <c r="L251" s="10">
        <f t="shared" si="26"/>
        <v>41042.311639253603</v>
      </c>
      <c r="M251" s="13"/>
      <c r="N251" s="13"/>
    </row>
    <row r="252" spans="5:14" x14ac:dyDescent="0.3">
      <c r="E252" s="15">
        <f t="shared" si="27"/>
        <v>21</v>
      </c>
      <c r="F252" s="15" t="s">
        <v>37</v>
      </c>
      <c r="G252" s="15">
        <f t="shared" si="23"/>
        <v>250</v>
      </c>
      <c r="H252" s="10">
        <f t="shared" si="28"/>
        <v>201.19048554071028</v>
      </c>
      <c r="I252" s="10">
        <f t="shared" si="29"/>
        <v>11.543418751270814</v>
      </c>
      <c r="J252" s="10">
        <f t="shared" si="24"/>
        <v>189.64706678943946</v>
      </c>
      <c r="K252" s="10">
        <f t="shared" si="25"/>
        <v>9768.0412939569796</v>
      </c>
      <c r="L252" s="10">
        <f t="shared" si="26"/>
        <v>41231.958706043042</v>
      </c>
      <c r="M252" s="13"/>
      <c r="N252" s="13"/>
    </row>
    <row r="253" spans="5:14" x14ac:dyDescent="0.3">
      <c r="E253" s="15">
        <f t="shared" si="27"/>
        <v>21</v>
      </c>
      <c r="F253" s="15" t="s">
        <v>38</v>
      </c>
      <c r="G253" s="15">
        <f t="shared" si="23"/>
        <v>251</v>
      </c>
      <c r="H253" s="10">
        <f t="shared" si="28"/>
        <v>201.19048554071028</v>
      </c>
      <c r="I253" s="10">
        <f t="shared" si="29"/>
        <v>11.323570988658505</v>
      </c>
      <c r="J253" s="10">
        <f t="shared" si="24"/>
        <v>189.86691455205178</v>
      </c>
      <c r="K253" s="10">
        <f t="shared" si="25"/>
        <v>9578.1743794049271</v>
      </c>
      <c r="L253" s="10">
        <f t="shared" si="26"/>
        <v>41421.825620595097</v>
      </c>
      <c r="M253" s="13"/>
      <c r="N253" s="13"/>
    </row>
    <row r="254" spans="5:14" x14ac:dyDescent="0.3">
      <c r="E254" s="15">
        <f t="shared" si="27"/>
        <v>21</v>
      </c>
      <c r="F254" s="15" t="s">
        <v>27</v>
      </c>
      <c r="G254" s="15">
        <f t="shared" si="23"/>
        <v>252</v>
      </c>
      <c r="H254" s="10">
        <f t="shared" si="28"/>
        <v>201.19048554071023</v>
      </c>
      <c r="I254" s="10">
        <f t="shared" si="29"/>
        <v>11.10346836822243</v>
      </c>
      <c r="J254" s="10">
        <f t="shared" si="24"/>
        <v>190.0870171724878</v>
      </c>
      <c r="K254" s="10">
        <f t="shared" si="25"/>
        <v>9388.0873622324398</v>
      </c>
      <c r="L254" s="10">
        <f t="shared" si="26"/>
        <v>41611.912637767586</v>
      </c>
      <c r="M254" s="13"/>
      <c r="N254" s="13"/>
    </row>
    <row r="255" spans="5:14" x14ac:dyDescent="0.3">
      <c r="E255" s="15">
        <f t="shared" si="27"/>
        <v>22</v>
      </c>
      <c r="F255" s="15" t="s">
        <v>28</v>
      </c>
      <c r="G255" s="15">
        <f t="shared" si="23"/>
        <v>253</v>
      </c>
      <c r="H255" s="10">
        <f t="shared" si="28"/>
        <v>201.19048554071028</v>
      </c>
      <c r="I255" s="10">
        <f t="shared" si="29"/>
        <v>10.883110594519463</v>
      </c>
      <c r="J255" s="10">
        <f t="shared" si="24"/>
        <v>190.30737494619083</v>
      </c>
      <c r="K255" s="10">
        <f t="shared" si="25"/>
        <v>9197.7799872862488</v>
      </c>
      <c r="L255" s="10">
        <f t="shared" si="26"/>
        <v>41802.220012713777</v>
      </c>
      <c r="M255" s="13"/>
      <c r="N255" s="13"/>
    </row>
    <row r="256" spans="5:14" x14ac:dyDescent="0.3">
      <c r="E256" s="15">
        <f t="shared" si="27"/>
        <v>22</v>
      </c>
      <c r="F256" s="15" t="s">
        <v>29</v>
      </c>
      <c r="G256" s="15">
        <f t="shared" si="23"/>
        <v>254</v>
      </c>
      <c r="H256" s="10">
        <f t="shared" si="28"/>
        <v>201.19048554071028</v>
      </c>
      <c r="I256" s="10">
        <f t="shared" si="29"/>
        <v>10.662497371763983</v>
      </c>
      <c r="J256" s="10">
        <f t="shared" si="24"/>
        <v>190.52798816894631</v>
      </c>
      <c r="K256" s="10">
        <f t="shared" si="25"/>
        <v>9007.2519991173031</v>
      </c>
      <c r="L256" s="10">
        <f t="shared" si="26"/>
        <v>41992.748000882726</v>
      </c>
      <c r="M256" s="13"/>
      <c r="N256" s="13"/>
    </row>
    <row r="257" spans="5:14" x14ac:dyDescent="0.3">
      <c r="E257" s="15">
        <f t="shared" si="27"/>
        <v>22</v>
      </c>
      <c r="F257" s="15" t="s">
        <v>30</v>
      </c>
      <c r="G257" s="15">
        <f t="shared" si="23"/>
        <v>255</v>
      </c>
      <c r="H257" s="10">
        <f t="shared" si="28"/>
        <v>201.19048554071031</v>
      </c>
      <c r="I257" s="10">
        <f t="shared" si="29"/>
        <v>10.441628403827488</v>
      </c>
      <c r="J257" s="10">
        <f t="shared" si="24"/>
        <v>190.74885713688283</v>
      </c>
      <c r="K257" s="10">
        <f t="shared" si="25"/>
        <v>8816.50314198042</v>
      </c>
      <c r="L257" s="10">
        <f t="shared" si="26"/>
        <v>42183.496858019607</v>
      </c>
      <c r="M257" s="13"/>
      <c r="N257" s="13"/>
    </row>
    <row r="258" spans="5:14" x14ac:dyDescent="0.3">
      <c r="E258" s="15">
        <f t="shared" si="27"/>
        <v>22</v>
      </c>
      <c r="F258" s="15" t="s">
        <v>31</v>
      </c>
      <c r="G258" s="15">
        <f t="shared" si="23"/>
        <v>256</v>
      </c>
      <c r="H258" s="10">
        <f t="shared" si="28"/>
        <v>201.19048554071028</v>
      </c>
      <c r="I258" s="10">
        <f t="shared" si="29"/>
        <v>10.220503394238182</v>
      </c>
      <c r="J258" s="10">
        <f t="shared" si="24"/>
        <v>190.96998214647209</v>
      </c>
      <c r="K258" s="10">
        <f t="shared" si="25"/>
        <v>8625.5331598339471</v>
      </c>
      <c r="L258" s="10">
        <f t="shared" si="26"/>
        <v>42374.466840166082</v>
      </c>
      <c r="M258" s="13"/>
      <c r="N258" s="13"/>
    </row>
    <row r="259" spans="5:14" x14ac:dyDescent="0.3">
      <c r="E259" s="15">
        <f t="shared" si="27"/>
        <v>22</v>
      </c>
      <c r="F259" s="15" t="s">
        <v>32</v>
      </c>
      <c r="G259" s="15">
        <f t="shared" ref="G259:G322" si="30">IF(G258&gt;=$B$18,"",G258+1)</f>
        <v>257</v>
      </c>
      <c r="H259" s="10">
        <f t="shared" si="28"/>
        <v>201.19048554071031</v>
      </c>
      <c r="I259" s="10">
        <f t="shared" si="29"/>
        <v>9.9991220461805899</v>
      </c>
      <c r="J259" s="10">
        <f t="shared" ref="J259:J322" si="31">IF(G259&lt;=$B$18,H259-I259,"")</f>
        <v>191.19136349452972</v>
      </c>
      <c r="K259" s="10">
        <f t="shared" ref="K259:K322" si="32">IF(G259&lt;=$B$18,K258-J259,"")</f>
        <v>8434.3417963394168</v>
      </c>
      <c r="L259" s="10">
        <f t="shared" ref="L259:L322" si="33">IF(G259&lt;=$B$18,L258+J259,"")</f>
        <v>42565.658203660612</v>
      </c>
      <c r="M259" s="13"/>
      <c r="N259" s="13"/>
    </row>
    <row r="260" spans="5:14" x14ac:dyDescent="0.3">
      <c r="E260" s="15">
        <f t="shared" ref="E260:E323" si="34">IF(G259&gt;=$B$18,"",INT(G259/12)+1)</f>
        <v>22</v>
      </c>
      <c r="F260" s="15" t="s">
        <v>33</v>
      </c>
      <c r="G260" s="15">
        <f t="shared" si="30"/>
        <v>258</v>
      </c>
      <c r="H260" s="10">
        <f t="shared" si="28"/>
        <v>201.19048554071023</v>
      </c>
      <c r="I260" s="10">
        <f t="shared" si="29"/>
        <v>9.7774840624951516</v>
      </c>
      <c r="J260" s="10">
        <f t="shared" si="31"/>
        <v>191.41300147821508</v>
      </c>
      <c r="K260" s="10">
        <f t="shared" si="32"/>
        <v>8242.9287948612018</v>
      </c>
      <c r="L260" s="10">
        <f t="shared" si="33"/>
        <v>42757.071205138825</v>
      </c>
      <c r="M260" s="13"/>
      <c r="N260" s="13"/>
    </row>
    <row r="261" spans="5:14" x14ac:dyDescent="0.3">
      <c r="E261" s="15">
        <f t="shared" si="34"/>
        <v>22</v>
      </c>
      <c r="F261" s="15" t="s">
        <v>34</v>
      </c>
      <c r="G261" s="15">
        <f t="shared" si="30"/>
        <v>259</v>
      </c>
      <c r="H261" s="10">
        <f t="shared" si="28"/>
        <v>201.19048554071023</v>
      </c>
      <c r="I261" s="10">
        <f t="shared" si="29"/>
        <v>9.5555891456778284</v>
      </c>
      <c r="J261" s="10">
        <f t="shared" si="31"/>
        <v>191.6348963950324</v>
      </c>
      <c r="K261" s="10">
        <f t="shared" si="32"/>
        <v>8051.2938984661696</v>
      </c>
      <c r="L261" s="10">
        <f t="shared" si="33"/>
        <v>42948.706101533855</v>
      </c>
      <c r="M261" s="13"/>
      <c r="N261" s="13"/>
    </row>
    <row r="262" spans="5:14" x14ac:dyDescent="0.3">
      <c r="E262" s="15">
        <f t="shared" si="34"/>
        <v>22</v>
      </c>
      <c r="F262" s="15" t="s">
        <v>35</v>
      </c>
      <c r="G262" s="15">
        <f t="shared" si="30"/>
        <v>260</v>
      </c>
      <c r="H262" s="10">
        <f t="shared" si="28"/>
        <v>201.19048554071028</v>
      </c>
      <c r="I262" s="10">
        <f t="shared" si="29"/>
        <v>9.3334369978796978</v>
      </c>
      <c r="J262" s="10">
        <f t="shared" si="31"/>
        <v>191.8570485428306</v>
      </c>
      <c r="K262" s="10">
        <f t="shared" si="32"/>
        <v>7859.4368499233387</v>
      </c>
      <c r="L262" s="10">
        <f t="shared" si="33"/>
        <v>43140.563150076683</v>
      </c>
      <c r="M262" s="13"/>
      <c r="N262" s="13"/>
    </row>
    <row r="263" spans="5:14" x14ac:dyDescent="0.3">
      <c r="E263" s="15">
        <f t="shared" si="34"/>
        <v>22</v>
      </c>
      <c r="F263" s="15" t="s">
        <v>36</v>
      </c>
      <c r="G263" s="15">
        <f t="shared" si="30"/>
        <v>261</v>
      </c>
      <c r="H263" s="10">
        <f t="shared" si="28"/>
        <v>201.19048554071023</v>
      </c>
      <c r="I263" s="10">
        <f t="shared" si="29"/>
        <v>9.11102732090656</v>
      </c>
      <c r="J263" s="10">
        <f t="shared" si="31"/>
        <v>192.07945821980366</v>
      </c>
      <c r="K263" s="10">
        <f t="shared" si="32"/>
        <v>7667.3573917035355</v>
      </c>
      <c r="L263" s="10">
        <f t="shared" si="33"/>
        <v>43332.64260829649</v>
      </c>
      <c r="M263" s="13"/>
      <c r="N263" s="13"/>
    </row>
    <row r="264" spans="5:14" x14ac:dyDescent="0.3">
      <c r="E264" s="15">
        <f t="shared" si="34"/>
        <v>22</v>
      </c>
      <c r="F264" s="15" t="s">
        <v>37</v>
      </c>
      <c r="G264" s="15">
        <f t="shared" si="30"/>
        <v>262</v>
      </c>
      <c r="H264" s="10">
        <f t="shared" si="28"/>
        <v>201.19048554071028</v>
      </c>
      <c r="I264" s="10">
        <f t="shared" si="29"/>
        <v>8.8883598162185322</v>
      </c>
      <c r="J264" s="10">
        <f t="shared" si="31"/>
        <v>192.30212572449176</v>
      </c>
      <c r="K264" s="10">
        <f t="shared" si="32"/>
        <v>7475.0552659790437</v>
      </c>
      <c r="L264" s="10">
        <f t="shared" si="33"/>
        <v>43524.944734020981</v>
      </c>
      <c r="M264" s="13"/>
      <c r="N264" s="13"/>
    </row>
    <row r="265" spans="5:14" x14ac:dyDescent="0.3">
      <c r="E265" s="15">
        <f t="shared" si="34"/>
        <v>22</v>
      </c>
      <c r="F265" s="15" t="s">
        <v>38</v>
      </c>
      <c r="G265" s="15">
        <f t="shared" si="30"/>
        <v>263</v>
      </c>
      <c r="H265" s="10">
        <f t="shared" si="28"/>
        <v>201.19048554071028</v>
      </c>
      <c r="I265" s="10">
        <f t="shared" si="29"/>
        <v>8.6654341849296515</v>
      </c>
      <c r="J265" s="10">
        <f t="shared" si="31"/>
        <v>192.52505135578065</v>
      </c>
      <c r="K265" s="10">
        <f t="shared" si="32"/>
        <v>7282.5302146232634</v>
      </c>
      <c r="L265" s="10">
        <f t="shared" si="33"/>
        <v>43717.469785376765</v>
      </c>
      <c r="M265" s="13"/>
      <c r="N265" s="13"/>
    </row>
    <row r="266" spans="5:14" x14ac:dyDescent="0.3">
      <c r="E266" s="15">
        <f t="shared" si="34"/>
        <v>22</v>
      </c>
      <c r="F266" s="15" t="s">
        <v>27</v>
      </c>
      <c r="G266" s="15">
        <f t="shared" si="30"/>
        <v>264</v>
      </c>
      <c r="H266" s="10">
        <f t="shared" si="28"/>
        <v>201.19048554071031</v>
      </c>
      <c r="I266" s="10">
        <f t="shared" si="29"/>
        <v>8.4422501278074726</v>
      </c>
      <c r="J266" s="10">
        <f t="shared" si="31"/>
        <v>192.74823541290283</v>
      </c>
      <c r="K266" s="10">
        <f t="shared" si="32"/>
        <v>7089.781979210361</v>
      </c>
      <c r="L266" s="10">
        <f t="shared" si="33"/>
        <v>43910.218020789667</v>
      </c>
      <c r="M266" s="13"/>
      <c r="N266" s="13"/>
    </row>
    <row r="267" spans="5:14" x14ac:dyDescent="0.3">
      <c r="E267" s="15">
        <f t="shared" si="34"/>
        <v>23</v>
      </c>
      <c r="F267" s="15" t="s">
        <v>28</v>
      </c>
      <c r="G267" s="15">
        <f t="shared" si="30"/>
        <v>265</v>
      </c>
      <c r="H267" s="10">
        <f t="shared" si="28"/>
        <v>201.19048554071028</v>
      </c>
      <c r="I267" s="10">
        <f t="shared" si="29"/>
        <v>8.2188073452726638</v>
      </c>
      <c r="J267" s="10">
        <f t="shared" si="31"/>
        <v>192.97167819543762</v>
      </c>
      <c r="K267" s="10">
        <f t="shared" si="32"/>
        <v>6896.8103010149234</v>
      </c>
      <c r="L267" s="10">
        <f t="shared" si="33"/>
        <v>44103.189698985108</v>
      </c>
      <c r="M267" s="13"/>
      <c r="N267" s="13"/>
    </row>
    <row r="268" spans="5:14" x14ac:dyDescent="0.3">
      <c r="E268" s="15">
        <f t="shared" si="34"/>
        <v>23</v>
      </c>
      <c r="F268" s="15" t="s">
        <v>29</v>
      </c>
      <c r="G268" s="15">
        <f t="shared" si="30"/>
        <v>266</v>
      </c>
      <c r="H268" s="10">
        <f t="shared" ref="H268:H302" si="35">IF(G268&lt;=$B$18,PMT($B$11,$B$18-G267,-K267)+M268,"")</f>
        <v>201.19048554071028</v>
      </c>
      <c r="I268" s="10">
        <f t="shared" ref="I268:I302" si="36">IF(G268&lt;=$B$18,K267*$B$11,"")</f>
        <v>7.9951055373986089</v>
      </c>
      <c r="J268" s="10">
        <f t="shared" si="31"/>
        <v>193.19538000331167</v>
      </c>
      <c r="K268" s="10">
        <f t="shared" si="32"/>
        <v>6703.6149210116118</v>
      </c>
      <c r="L268" s="10">
        <f t="shared" si="33"/>
        <v>44296.385078988424</v>
      </c>
      <c r="M268" s="13"/>
      <c r="N268" s="13"/>
    </row>
    <row r="269" spans="5:14" x14ac:dyDescent="0.3">
      <c r="E269" s="15">
        <f t="shared" si="34"/>
        <v>23</v>
      </c>
      <c r="F269" s="15" t="s">
        <v>30</v>
      </c>
      <c r="G269" s="15">
        <f t="shared" si="30"/>
        <v>267</v>
      </c>
      <c r="H269" s="10">
        <f t="shared" si="35"/>
        <v>201.19048554071028</v>
      </c>
      <c r="I269" s="10">
        <f t="shared" si="36"/>
        <v>7.771144403911002</v>
      </c>
      <c r="J269" s="10">
        <f t="shared" si="31"/>
        <v>193.41934113679929</v>
      </c>
      <c r="K269" s="10">
        <f t="shared" si="32"/>
        <v>6510.1955798748122</v>
      </c>
      <c r="L269" s="10">
        <f t="shared" si="33"/>
        <v>44489.80442012522</v>
      </c>
      <c r="M269" s="13"/>
      <c r="N269" s="13"/>
    </row>
    <row r="270" spans="5:14" x14ac:dyDescent="0.3">
      <c r="E270" s="15">
        <f t="shared" si="34"/>
        <v>23</v>
      </c>
      <c r="F270" s="15" t="s">
        <v>31</v>
      </c>
      <c r="G270" s="15">
        <f t="shared" si="30"/>
        <v>268</v>
      </c>
      <c r="H270" s="10">
        <f t="shared" si="35"/>
        <v>201.19048554071028</v>
      </c>
      <c r="I270" s="10">
        <f t="shared" si="36"/>
        <v>7.5469236441874452</v>
      </c>
      <c r="J270" s="10">
        <f t="shared" si="31"/>
        <v>193.64356189652284</v>
      </c>
      <c r="K270" s="10">
        <f t="shared" si="32"/>
        <v>6316.5520179782898</v>
      </c>
      <c r="L270" s="10">
        <f t="shared" si="33"/>
        <v>44683.447982021746</v>
      </c>
      <c r="M270" s="13"/>
      <c r="N270" s="13"/>
    </row>
    <row r="271" spans="5:14" x14ac:dyDescent="0.3">
      <c r="E271" s="15">
        <f t="shared" si="34"/>
        <v>23</v>
      </c>
      <c r="F271" s="15" t="s">
        <v>32</v>
      </c>
      <c r="G271" s="15">
        <f t="shared" si="30"/>
        <v>269</v>
      </c>
      <c r="H271" s="10">
        <f t="shared" si="35"/>
        <v>201.19048554071028</v>
      </c>
      <c r="I271" s="10">
        <f t="shared" si="36"/>
        <v>7.3224429572570466</v>
      </c>
      <c r="J271" s="10">
        <f t="shared" si="31"/>
        <v>193.86804258345325</v>
      </c>
      <c r="K271" s="10">
        <f t="shared" si="32"/>
        <v>6122.6839753948361</v>
      </c>
      <c r="L271" s="10">
        <f t="shared" si="33"/>
        <v>44877.316024605199</v>
      </c>
      <c r="M271" s="13"/>
      <c r="N271" s="13"/>
    </row>
    <row r="272" spans="5:14" x14ac:dyDescent="0.3">
      <c r="E272" s="15">
        <f t="shared" si="34"/>
        <v>23</v>
      </c>
      <c r="F272" s="15" t="s">
        <v>33</v>
      </c>
      <c r="G272" s="15">
        <f t="shared" si="30"/>
        <v>270</v>
      </c>
      <c r="H272" s="10">
        <f t="shared" si="35"/>
        <v>201.19048554071031</v>
      </c>
      <c r="I272" s="10">
        <f t="shared" si="36"/>
        <v>7.0977020418000123</v>
      </c>
      <c r="J272" s="10">
        <f t="shared" si="31"/>
        <v>194.09278349891031</v>
      </c>
      <c r="K272" s="10">
        <f t="shared" si="32"/>
        <v>5928.5911918959255</v>
      </c>
      <c r="L272" s="10">
        <f t="shared" si="33"/>
        <v>45071.408808104112</v>
      </c>
      <c r="M272" s="13"/>
      <c r="N272" s="13"/>
    </row>
    <row r="273" spans="5:14" x14ac:dyDescent="0.3">
      <c r="E273" s="15">
        <f t="shared" si="34"/>
        <v>23</v>
      </c>
      <c r="F273" s="15" t="s">
        <v>34</v>
      </c>
      <c r="G273" s="15">
        <f t="shared" si="30"/>
        <v>271</v>
      </c>
      <c r="H273" s="10">
        <f t="shared" si="35"/>
        <v>201.19048554071028</v>
      </c>
      <c r="I273" s="10">
        <f t="shared" si="36"/>
        <v>6.8727005961472463</v>
      </c>
      <c r="J273" s="10">
        <f t="shared" si="31"/>
        <v>194.31778494456304</v>
      </c>
      <c r="K273" s="10">
        <f t="shared" si="32"/>
        <v>5734.2734069513626</v>
      </c>
      <c r="L273" s="10">
        <f t="shared" si="33"/>
        <v>45265.726593048676</v>
      </c>
      <c r="M273" s="13"/>
      <c r="N273" s="13"/>
    </row>
    <row r="274" spans="5:14" x14ac:dyDescent="0.3">
      <c r="E274" s="15">
        <f t="shared" si="34"/>
        <v>23</v>
      </c>
      <c r="F274" s="15" t="s">
        <v>35</v>
      </c>
      <c r="G274" s="15">
        <f t="shared" si="30"/>
        <v>272</v>
      </c>
      <c r="H274" s="10">
        <f t="shared" si="35"/>
        <v>201.19048554071028</v>
      </c>
      <c r="I274" s="10">
        <f t="shared" si="36"/>
        <v>6.6474383182799421</v>
      </c>
      <c r="J274" s="10">
        <f t="shared" si="31"/>
        <v>194.54304722243035</v>
      </c>
      <c r="K274" s="10">
        <f t="shared" si="32"/>
        <v>5539.7303597289319</v>
      </c>
      <c r="L274" s="10">
        <f t="shared" si="33"/>
        <v>45460.269640271108</v>
      </c>
      <c r="M274" s="13"/>
      <c r="N274" s="13"/>
    </row>
    <row r="275" spans="5:14" x14ac:dyDescent="0.3">
      <c r="E275" s="15">
        <f t="shared" si="34"/>
        <v>23</v>
      </c>
      <c r="F275" s="15" t="s">
        <v>36</v>
      </c>
      <c r="G275" s="15">
        <f t="shared" si="30"/>
        <v>273</v>
      </c>
      <c r="H275" s="10">
        <f t="shared" si="35"/>
        <v>201.19048554071028</v>
      </c>
      <c r="I275" s="10">
        <f t="shared" si="36"/>
        <v>6.4219149058291798</v>
      </c>
      <c r="J275" s="10">
        <f t="shared" si="31"/>
        <v>194.76857063488112</v>
      </c>
      <c r="K275" s="10">
        <f t="shared" si="32"/>
        <v>5344.9617890940508</v>
      </c>
      <c r="L275" s="10">
        <f t="shared" si="33"/>
        <v>45655.038210905986</v>
      </c>
      <c r="M275" s="13"/>
      <c r="N275" s="13"/>
    </row>
    <row r="276" spans="5:14" x14ac:dyDescent="0.3">
      <c r="E276" s="15">
        <f t="shared" si="34"/>
        <v>23</v>
      </c>
      <c r="F276" s="15" t="s">
        <v>37</v>
      </c>
      <c r="G276" s="15">
        <f t="shared" si="30"/>
        <v>274</v>
      </c>
      <c r="H276" s="10">
        <f t="shared" si="35"/>
        <v>201.19048554071023</v>
      </c>
      <c r="I276" s="10">
        <f t="shared" si="36"/>
        <v>6.1961300560755195</v>
      </c>
      <c r="J276" s="10">
        <f t="shared" si="31"/>
        <v>194.9943554846347</v>
      </c>
      <c r="K276" s="10">
        <f t="shared" si="32"/>
        <v>5149.9674336094158</v>
      </c>
      <c r="L276" s="10">
        <f t="shared" si="33"/>
        <v>45850.032566390619</v>
      </c>
      <c r="M276" s="13"/>
      <c r="N276" s="13"/>
    </row>
    <row r="277" spans="5:14" x14ac:dyDescent="0.3">
      <c r="E277" s="15">
        <f t="shared" si="34"/>
        <v>23</v>
      </c>
      <c r="F277" s="15" t="s">
        <v>38</v>
      </c>
      <c r="G277" s="15">
        <f t="shared" si="30"/>
        <v>275</v>
      </c>
      <c r="H277" s="10">
        <f t="shared" si="35"/>
        <v>201.19048554071023</v>
      </c>
      <c r="I277" s="10">
        <f t="shared" si="36"/>
        <v>5.9700834659485942</v>
      </c>
      <c r="J277" s="10">
        <f t="shared" si="31"/>
        <v>195.22040207476164</v>
      </c>
      <c r="K277" s="10">
        <f t="shared" si="32"/>
        <v>4954.7470315346545</v>
      </c>
      <c r="L277" s="10">
        <f t="shared" si="33"/>
        <v>46045.252968465378</v>
      </c>
      <c r="M277" s="13"/>
      <c r="N277" s="13"/>
    </row>
    <row r="278" spans="5:14" x14ac:dyDescent="0.3">
      <c r="E278" s="15">
        <f t="shared" si="34"/>
        <v>23</v>
      </c>
      <c r="F278" s="15" t="s">
        <v>27</v>
      </c>
      <c r="G278" s="15">
        <f t="shared" si="30"/>
        <v>276</v>
      </c>
      <c r="H278" s="10">
        <f t="shared" si="35"/>
        <v>201.19048554071028</v>
      </c>
      <c r="I278" s="10">
        <f t="shared" si="36"/>
        <v>5.7437748320267046</v>
      </c>
      <c r="J278" s="10">
        <f t="shared" si="31"/>
        <v>195.44671070868358</v>
      </c>
      <c r="K278" s="10">
        <f t="shared" si="32"/>
        <v>4759.3003208259706</v>
      </c>
      <c r="L278" s="10">
        <f t="shared" si="33"/>
        <v>46240.69967917406</v>
      </c>
      <c r="M278" s="13"/>
      <c r="N278" s="13"/>
    </row>
    <row r="279" spans="5:14" x14ac:dyDescent="0.3">
      <c r="E279" s="15">
        <f t="shared" si="34"/>
        <v>24</v>
      </c>
      <c r="F279" s="15" t="s">
        <v>28</v>
      </c>
      <c r="G279" s="15">
        <f t="shared" si="30"/>
        <v>277</v>
      </c>
      <c r="H279" s="10">
        <f t="shared" si="35"/>
        <v>201.19048554071023</v>
      </c>
      <c r="I279" s="10">
        <f t="shared" si="36"/>
        <v>5.5172038505364069</v>
      </c>
      <c r="J279" s="10">
        <f t="shared" si="31"/>
        <v>195.67328169017381</v>
      </c>
      <c r="K279" s="10">
        <f t="shared" si="32"/>
        <v>4563.6270391357966</v>
      </c>
      <c r="L279" s="10">
        <f t="shared" si="33"/>
        <v>46436.372960864232</v>
      </c>
      <c r="M279" s="13"/>
      <c r="N279" s="13"/>
    </row>
    <row r="280" spans="5:14" x14ac:dyDescent="0.3">
      <c r="E280" s="15">
        <f t="shared" si="34"/>
        <v>24</v>
      </c>
      <c r="F280" s="15" t="s">
        <v>29</v>
      </c>
      <c r="G280" s="15">
        <f t="shared" si="30"/>
        <v>278</v>
      </c>
      <c r="H280" s="10">
        <f t="shared" si="35"/>
        <v>201.19048554071028</v>
      </c>
      <c r="I280" s="10">
        <f t="shared" si="36"/>
        <v>5.2903702173521152</v>
      </c>
      <c r="J280" s="10">
        <f t="shared" si="31"/>
        <v>195.90011532335816</v>
      </c>
      <c r="K280" s="10">
        <f t="shared" si="32"/>
        <v>4367.7269238124381</v>
      </c>
      <c r="L280" s="10">
        <f t="shared" si="33"/>
        <v>46632.273076187586</v>
      </c>
      <c r="M280" s="13"/>
      <c r="N280" s="13"/>
    </row>
    <row r="281" spans="5:14" x14ac:dyDescent="0.3">
      <c r="E281" s="15">
        <f t="shared" si="34"/>
        <v>24</v>
      </c>
      <c r="F281" s="15" t="s">
        <v>30</v>
      </c>
      <c r="G281" s="15">
        <f t="shared" si="30"/>
        <v>279</v>
      </c>
      <c r="H281" s="10">
        <f t="shared" si="35"/>
        <v>201.19048554071023</v>
      </c>
      <c r="I281" s="10">
        <f t="shared" si="36"/>
        <v>5.0632736279956809</v>
      </c>
      <c r="J281" s="10">
        <f t="shared" si="31"/>
        <v>196.12721191271456</v>
      </c>
      <c r="K281" s="10">
        <f t="shared" si="32"/>
        <v>4171.5997118997238</v>
      </c>
      <c r="L281" s="10">
        <f t="shared" si="33"/>
        <v>46828.400288100303</v>
      </c>
      <c r="M281" s="13"/>
      <c r="N281" s="13"/>
    </row>
    <row r="282" spans="5:14" x14ac:dyDescent="0.3">
      <c r="E282" s="15">
        <f t="shared" si="34"/>
        <v>24</v>
      </c>
      <c r="F282" s="15" t="s">
        <v>31</v>
      </c>
      <c r="G282" s="15">
        <f t="shared" si="30"/>
        <v>280</v>
      </c>
      <c r="H282" s="10">
        <f t="shared" si="35"/>
        <v>201.19048554071023</v>
      </c>
      <c r="I282" s="10">
        <f t="shared" si="36"/>
        <v>4.8359137776359953</v>
      </c>
      <c r="J282" s="10">
        <f t="shared" si="31"/>
        <v>196.35457176307423</v>
      </c>
      <c r="K282" s="10">
        <f t="shared" si="32"/>
        <v>3975.2451401366498</v>
      </c>
      <c r="L282" s="10">
        <f t="shared" si="33"/>
        <v>47024.75485986338</v>
      </c>
      <c r="M282" s="13"/>
      <c r="N282" s="13"/>
    </row>
    <row r="283" spans="5:14" x14ac:dyDescent="0.3">
      <c r="E283" s="15">
        <f t="shared" si="34"/>
        <v>24</v>
      </c>
      <c r="F283" s="15" t="s">
        <v>32</v>
      </c>
      <c r="G283" s="15">
        <f t="shared" si="30"/>
        <v>281</v>
      </c>
      <c r="H283" s="10">
        <f t="shared" si="35"/>
        <v>201.19048554071028</v>
      </c>
      <c r="I283" s="10">
        <f t="shared" si="36"/>
        <v>4.6082903610885708</v>
      </c>
      <c r="J283" s="10">
        <f t="shared" si="31"/>
        <v>196.58219517962172</v>
      </c>
      <c r="K283" s="10">
        <f t="shared" si="32"/>
        <v>3778.6629449570282</v>
      </c>
      <c r="L283" s="10">
        <f t="shared" si="33"/>
        <v>47221.337055043005</v>
      </c>
      <c r="M283" s="13"/>
      <c r="N283" s="13"/>
    </row>
    <row r="284" spans="5:14" x14ac:dyDescent="0.3">
      <c r="E284" s="15">
        <f t="shared" si="34"/>
        <v>24</v>
      </c>
      <c r="F284" s="15" t="s">
        <v>33</v>
      </c>
      <c r="G284" s="15">
        <f t="shared" si="30"/>
        <v>282</v>
      </c>
      <c r="H284" s="10">
        <f t="shared" si="35"/>
        <v>201.19048554071028</v>
      </c>
      <c r="I284" s="10">
        <f t="shared" si="36"/>
        <v>4.3804030728151382</v>
      </c>
      <c r="J284" s="10">
        <f t="shared" si="31"/>
        <v>196.81008246789514</v>
      </c>
      <c r="K284" s="10">
        <f t="shared" si="32"/>
        <v>3581.8528624891333</v>
      </c>
      <c r="L284" s="10">
        <f t="shared" si="33"/>
        <v>47418.147137510903</v>
      </c>
      <c r="M284" s="13"/>
      <c r="N284" s="13"/>
    </row>
    <row r="285" spans="5:14" x14ac:dyDescent="0.3">
      <c r="E285" s="15">
        <f t="shared" si="34"/>
        <v>24</v>
      </c>
      <c r="F285" s="15" t="s">
        <v>34</v>
      </c>
      <c r="G285" s="15">
        <f t="shared" si="30"/>
        <v>283</v>
      </c>
      <c r="H285" s="10">
        <f t="shared" si="35"/>
        <v>201.19048554071023</v>
      </c>
      <c r="I285" s="10">
        <f t="shared" si="36"/>
        <v>4.152251606923234</v>
      </c>
      <c r="J285" s="10">
        <f t="shared" si="31"/>
        <v>197.03823393378698</v>
      </c>
      <c r="K285" s="10">
        <f t="shared" si="32"/>
        <v>3384.8146285553462</v>
      </c>
      <c r="L285" s="10">
        <f t="shared" si="33"/>
        <v>47615.185371444692</v>
      </c>
      <c r="M285" s="13"/>
      <c r="N285" s="13"/>
    </row>
    <row r="286" spans="5:14" x14ac:dyDescent="0.3">
      <c r="E286" s="15">
        <f t="shared" si="34"/>
        <v>24</v>
      </c>
      <c r="F286" s="15" t="s">
        <v>35</v>
      </c>
      <c r="G286" s="15">
        <f t="shared" si="30"/>
        <v>284</v>
      </c>
      <c r="H286" s="10">
        <f t="shared" si="35"/>
        <v>201.19048554071028</v>
      </c>
      <c r="I286" s="10">
        <f t="shared" si="36"/>
        <v>3.9238356571657871</v>
      </c>
      <c r="J286" s="10">
        <f t="shared" si="31"/>
        <v>197.26664988354449</v>
      </c>
      <c r="K286" s="10">
        <f t="shared" si="32"/>
        <v>3187.5479786718015</v>
      </c>
      <c r="L286" s="10">
        <f t="shared" si="33"/>
        <v>47812.452021328238</v>
      </c>
      <c r="M286" s="13"/>
      <c r="N286" s="13"/>
    </row>
    <row r="287" spans="5:14" x14ac:dyDescent="0.3">
      <c r="E287" s="15">
        <f t="shared" si="34"/>
        <v>24</v>
      </c>
      <c r="F287" s="15" t="s">
        <v>36</v>
      </c>
      <c r="G287" s="15">
        <f t="shared" si="30"/>
        <v>285</v>
      </c>
      <c r="H287" s="10">
        <f t="shared" si="35"/>
        <v>201.19048554071028</v>
      </c>
      <c r="I287" s="10">
        <f t="shared" si="36"/>
        <v>3.6951549169407145</v>
      </c>
      <c r="J287" s="10">
        <f t="shared" si="31"/>
        <v>197.49533062376958</v>
      </c>
      <c r="K287" s="10">
        <f t="shared" si="32"/>
        <v>2990.0526480480321</v>
      </c>
      <c r="L287" s="10">
        <f t="shared" si="33"/>
        <v>48009.947351952011</v>
      </c>
      <c r="M287" s="13"/>
      <c r="N287" s="13"/>
    </row>
    <row r="288" spans="5:14" x14ac:dyDescent="0.3">
      <c r="E288" s="15">
        <f t="shared" si="34"/>
        <v>24</v>
      </c>
      <c r="F288" s="15" t="s">
        <v>37</v>
      </c>
      <c r="G288" s="15">
        <f t="shared" si="30"/>
        <v>286</v>
      </c>
      <c r="H288" s="10">
        <f t="shared" si="35"/>
        <v>201.19048554071028</v>
      </c>
      <c r="I288" s="10">
        <f t="shared" si="36"/>
        <v>3.4662090792905031</v>
      </c>
      <c r="J288" s="10">
        <f t="shared" si="31"/>
        <v>197.72427646141978</v>
      </c>
      <c r="K288" s="10">
        <f t="shared" si="32"/>
        <v>2792.3283715866123</v>
      </c>
      <c r="L288" s="10">
        <f t="shared" si="33"/>
        <v>48207.671628413431</v>
      </c>
      <c r="M288" s="13"/>
      <c r="N288" s="13"/>
    </row>
    <row r="289" spans="5:14" x14ac:dyDescent="0.3">
      <c r="E289" s="15">
        <f t="shared" si="34"/>
        <v>24</v>
      </c>
      <c r="F289" s="15" t="s">
        <v>38</v>
      </c>
      <c r="G289" s="15">
        <f t="shared" si="30"/>
        <v>287</v>
      </c>
      <c r="H289" s="10">
        <f t="shared" si="35"/>
        <v>201.19048554071031</v>
      </c>
      <c r="I289" s="10">
        <f t="shared" si="36"/>
        <v>3.2369978369018009</v>
      </c>
      <c r="J289" s="10">
        <f t="shared" si="31"/>
        <v>197.95348770380852</v>
      </c>
      <c r="K289" s="10">
        <f t="shared" si="32"/>
        <v>2594.3748838828037</v>
      </c>
      <c r="L289" s="10">
        <f t="shared" si="33"/>
        <v>48405.62511611724</v>
      </c>
      <c r="M289" s="13"/>
      <c r="N289" s="13"/>
    </row>
    <row r="290" spans="5:14" x14ac:dyDescent="0.3">
      <c r="E290" s="15">
        <f t="shared" si="34"/>
        <v>24</v>
      </c>
      <c r="F290" s="15" t="s">
        <v>27</v>
      </c>
      <c r="G290" s="15">
        <f t="shared" si="30"/>
        <v>288</v>
      </c>
      <c r="H290" s="10">
        <f t="shared" si="35"/>
        <v>201.19048554071023</v>
      </c>
      <c r="I290" s="10">
        <f t="shared" si="36"/>
        <v>3.0075208821050032</v>
      </c>
      <c r="J290" s="10">
        <f t="shared" si="31"/>
        <v>198.18296465860521</v>
      </c>
      <c r="K290" s="10">
        <f t="shared" si="32"/>
        <v>2396.1919192241985</v>
      </c>
      <c r="L290" s="10">
        <f t="shared" si="33"/>
        <v>48603.808080775845</v>
      </c>
      <c r="M290" s="13"/>
      <c r="N290" s="13"/>
    </row>
    <row r="291" spans="5:14" x14ac:dyDescent="0.3">
      <c r="E291" s="15">
        <f t="shared" si="34"/>
        <v>25</v>
      </c>
      <c r="F291" s="15" t="s">
        <v>28</v>
      </c>
      <c r="G291" s="15">
        <f t="shared" si="30"/>
        <v>289</v>
      </c>
      <c r="H291" s="10">
        <f t="shared" si="35"/>
        <v>201.19048554071028</v>
      </c>
      <c r="I291" s="10">
        <f t="shared" si="36"/>
        <v>2.7777779068738426</v>
      </c>
      <c r="J291" s="10">
        <f t="shared" si="31"/>
        <v>198.41270763383645</v>
      </c>
      <c r="K291" s="10">
        <f t="shared" si="32"/>
        <v>2197.7792115903621</v>
      </c>
      <c r="L291" s="10">
        <f t="shared" si="33"/>
        <v>48802.220788409679</v>
      </c>
      <c r="M291" s="13"/>
      <c r="N291" s="13"/>
    </row>
    <row r="292" spans="5:14" x14ac:dyDescent="0.3">
      <c r="E292" s="15">
        <f t="shared" si="34"/>
        <v>25</v>
      </c>
      <c r="F292" s="15" t="s">
        <v>29</v>
      </c>
      <c r="G292" s="15">
        <f t="shared" si="30"/>
        <v>290</v>
      </c>
      <c r="H292" s="10">
        <f t="shared" si="35"/>
        <v>201.19048554071023</v>
      </c>
      <c r="I292" s="10">
        <f t="shared" si="36"/>
        <v>2.54776860282497</v>
      </c>
      <c r="J292" s="10">
        <f t="shared" si="31"/>
        <v>198.64271693788527</v>
      </c>
      <c r="K292" s="10">
        <f t="shared" si="32"/>
        <v>1999.1364946524768</v>
      </c>
      <c r="L292" s="10">
        <f t="shared" si="33"/>
        <v>49000.863505347566</v>
      </c>
      <c r="M292" s="13"/>
      <c r="N292" s="13"/>
    </row>
    <row r="293" spans="5:14" x14ac:dyDescent="0.3">
      <c r="E293" s="15">
        <f t="shared" si="34"/>
        <v>25</v>
      </c>
      <c r="F293" s="15" t="s">
        <v>30</v>
      </c>
      <c r="G293" s="15">
        <f t="shared" si="30"/>
        <v>291</v>
      </c>
      <c r="H293" s="10">
        <f t="shared" si="35"/>
        <v>201.19048554071023</v>
      </c>
      <c r="I293" s="10">
        <f t="shared" si="36"/>
        <v>2.3174926612175462</v>
      </c>
      <c r="J293" s="10">
        <f t="shared" si="31"/>
        <v>198.87299287949267</v>
      </c>
      <c r="K293" s="10">
        <f t="shared" si="32"/>
        <v>1800.2635017729842</v>
      </c>
      <c r="L293" s="10">
        <f t="shared" si="33"/>
        <v>49199.736498227059</v>
      </c>
      <c r="M293" s="13"/>
      <c r="N293" s="13"/>
    </row>
    <row r="294" spans="5:14" x14ac:dyDescent="0.3">
      <c r="E294" s="15">
        <f t="shared" si="34"/>
        <v>25</v>
      </c>
      <c r="F294" s="15" t="s">
        <v>31</v>
      </c>
      <c r="G294" s="15">
        <f t="shared" si="30"/>
        <v>292</v>
      </c>
      <c r="H294" s="10">
        <f t="shared" si="35"/>
        <v>201.19048554071023</v>
      </c>
      <c r="I294" s="10">
        <f t="shared" si="36"/>
        <v>2.0869497729528246</v>
      </c>
      <c r="J294" s="10">
        <f t="shared" si="31"/>
        <v>199.10353576775739</v>
      </c>
      <c r="K294" s="10">
        <f t="shared" si="32"/>
        <v>1601.1599660052268</v>
      </c>
      <c r="L294" s="10">
        <f t="shared" si="33"/>
        <v>49398.840033994813</v>
      </c>
      <c r="M294" s="13"/>
      <c r="N294" s="13"/>
    </row>
    <row r="295" spans="5:14" x14ac:dyDescent="0.3">
      <c r="E295" s="15">
        <f t="shared" si="34"/>
        <v>25</v>
      </c>
      <c r="F295" s="15" t="s">
        <v>32</v>
      </c>
      <c r="G295" s="15">
        <f t="shared" si="30"/>
        <v>293</v>
      </c>
      <c r="H295" s="10">
        <f t="shared" si="35"/>
        <v>201.19048554071028</v>
      </c>
      <c r="I295" s="10">
        <f t="shared" si="36"/>
        <v>1.8561396285737362</v>
      </c>
      <c r="J295" s="10">
        <f t="shared" si="31"/>
        <v>199.33434591213654</v>
      </c>
      <c r="K295" s="10">
        <f t="shared" si="32"/>
        <v>1401.8256200930903</v>
      </c>
      <c r="L295" s="10">
        <f t="shared" si="33"/>
        <v>49598.174379906952</v>
      </c>
      <c r="M295" s="13"/>
      <c r="N295" s="13"/>
    </row>
    <row r="296" spans="5:14" x14ac:dyDescent="0.3">
      <c r="E296" s="15">
        <f t="shared" si="34"/>
        <v>25</v>
      </c>
      <c r="F296" s="15" t="s">
        <v>33</v>
      </c>
      <c r="G296" s="15">
        <f t="shared" si="30"/>
        <v>294</v>
      </c>
      <c r="H296" s="10">
        <f t="shared" si="35"/>
        <v>201.19048554071028</v>
      </c>
      <c r="I296" s="10">
        <f t="shared" si="36"/>
        <v>1.6250619182644752</v>
      </c>
      <c r="J296" s="10">
        <f t="shared" si="31"/>
        <v>199.56542362244582</v>
      </c>
      <c r="K296" s="10">
        <f t="shared" si="32"/>
        <v>1202.2601964706444</v>
      </c>
      <c r="L296" s="10">
        <f t="shared" si="33"/>
        <v>49797.739803529395</v>
      </c>
      <c r="M296" s="13"/>
      <c r="N296" s="13"/>
    </row>
    <row r="297" spans="5:14" x14ac:dyDescent="0.3">
      <c r="E297" s="15">
        <f t="shared" si="34"/>
        <v>25</v>
      </c>
      <c r="F297" s="15" t="s">
        <v>34</v>
      </c>
      <c r="G297" s="15">
        <f t="shared" si="30"/>
        <v>295</v>
      </c>
      <c r="H297" s="10">
        <f t="shared" si="35"/>
        <v>201.19048554071023</v>
      </c>
      <c r="I297" s="10">
        <f t="shared" si="36"/>
        <v>1.3937163318500834</v>
      </c>
      <c r="J297" s="10">
        <f t="shared" si="31"/>
        <v>199.79676920886016</v>
      </c>
      <c r="K297" s="10">
        <f t="shared" si="32"/>
        <v>1002.4634272617842</v>
      </c>
      <c r="L297" s="10">
        <f t="shared" si="33"/>
        <v>49997.536572738252</v>
      </c>
      <c r="M297" s="13"/>
      <c r="N297" s="13"/>
    </row>
    <row r="298" spans="5:14" x14ac:dyDescent="0.3">
      <c r="E298" s="15">
        <f t="shared" si="34"/>
        <v>25</v>
      </c>
      <c r="F298" s="15" t="s">
        <v>35</v>
      </c>
      <c r="G298" s="15">
        <f t="shared" si="30"/>
        <v>296</v>
      </c>
      <c r="H298" s="10">
        <f t="shared" si="35"/>
        <v>201.19048554071028</v>
      </c>
      <c r="I298" s="10">
        <f t="shared" si="36"/>
        <v>1.1621025587960325</v>
      </c>
      <c r="J298" s="10">
        <f t="shared" si="31"/>
        <v>200.02838298191426</v>
      </c>
      <c r="K298" s="10">
        <f t="shared" si="32"/>
        <v>802.43504427987</v>
      </c>
      <c r="L298" s="10">
        <f t="shared" si="33"/>
        <v>50197.564955720169</v>
      </c>
      <c r="M298" s="13"/>
      <c r="N298" s="13"/>
    </row>
    <row r="299" spans="5:14" x14ac:dyDescent="0.3">
      <c r="E299" s="15">
        <f t="shared" si="34"/>
        <v>25</v>
      </c>
      <c r="F299" s="15" t="s">
        <v>36</v>
      </c>
      <c r="G299" s="15">
        <f t="shared" si="30"/>
        <v>297</v>
      </c>
      <c r="H299" s="10">
        <f t="shared" si="35"/>
        <v>201.19048554071023</v>
      </c>
      <c r="I299" s="10">
        <f t="shared" si="36"/>
        <v>0.93022028820780878</v>
      </c>
      <c r="J299" s="10">
        <f t="shared" si="31"/>
        <v>200.26026525250242</v>
      </c>
      <c r="K299" s="10">
        <f t="shared" si="32"/>
        <v>602.17477902736755</v>
      </c>
      <c r="L299" s="10">
        <f t="shared" si="33"/>
        <v>50397.825220972671</v>
      </c>
      <c r="M299" s="13"/>
      <c r="N299" s="13"/>
    </row>
    <row r="300" spans="5:14" x14ac:dyDescent="0.3">
      <c r="E300" s="15">
        <f t="shared" si="34"/>
        <v>25</v>
      </c>
      <c r="F300" s="15" t="s">
        <v>37</v>
      </c>
      <c r="G300" s="15">
        <f t="shared" si="30"/>
        <v>298</v>
      </c>
      <c r="H300" s="10">
        <f t="shared" si="35"/>
        <v>201.19048554071023</v>
      </c>
      <c r="I300" s="10">
        <f t="shared" si="36"/>
        <v>0.69806920883049417</v>
      </c>
      <c r="J300" s="10">
        <f t="shared" si="31"/>
        <v>200.49241633187972</v>
      </c>
      <c r="K300" s="10">
        <f t="shared" si="32"/>
        <v>401.68236269548783</v>
      </c>
      <c r="L300" s="10">
        <f t="shared" si="33"/>
        <v>50598.31763730455</v>
      </c>
      <c r="M300" s="13"/>
      <c r="N300" s="13"/>
    </row>
    <row r="301" spans="5:14" x14ac:dyDescent="0.3">
      <c r="E301" s="15">
        <f t="shared" si="34"/>
        <v>25</v>
      </c>
      <c r="F301" s="15" t="s">
        <v>38</v>
      </c>
      <c r="G301" s="15">
        <f t="shared" si="30"/>
        <v>299</v>
      </c>
      <c r="H301" s="10">
        <f t="shared" si="35"/>
        <v>201.19048554071028</v>
      </c>
      <c r="I301" s="10">
        <f t="shared" si="36"/>
        <v>0.46564900904834994</v>
      </c>
      <c r="J301" s="10">
        <f t="shared" si="31"/>
        <v>200.72483653166194</v>
      </c>
      <c r="K301" s="10">
        <f t="shared" si="32"/>
        <v>200.95752616382589</v>
      </c>
      <c r="L301" s="10">
        <f t="shared" si="33"/>
        <v>50799.042473836213</v>
      </c>
      <c r="M301" s="13"/>
      <c r="N301" s="13"/>
    </row>
    <row r="302" spans="5:14" x14ac:dyDescent="0.3">
      <c r="E302" s="15">
        <f t="shared" si="34"/>
        <v>25</v>
      </c>
      <c r="F302" s="15" t="s">
        <v>27</v>
      </c>
      <c r="G302" s="15">
        <f t="shared" si="30"/>
        <v>300</v>
      </c>
      <c r="H302" s="10">
        <f t="shared" si="35"/>
        <v>201.19048554071028</v>
      </c>
      <c r="I302" s="10">
        <f t="shared" si="36"/>
        <v>0.23295937688439744</v>
      </c>
      <c r="J302" s="10">
        <f t="shared" si="31"/>
        <v>200.95752616382589</v>
      </c>
      <c r="K302" s="10">
        <f t="shared" si="32"/>
        <v>0</v>
      </c>
      <c r="L302" s="10">
        <f t="shared" si="33"/>
        <v>51000.000000000036</v>
      </c>
      <c r="M302" s="13"/>
      <c r="N302" s="13"/>
    </row>
    <row r="303" spans="5:14" x14ac:dyDescent="0.3">
      <c r="E303" s="15" t="str">
        <f t="shared" si="34"/>
        <v/>
      </c>
      <c r="F303" s="15" t="s">
        <v>28</v>
      </c>
      <c r="G303" s="15" t="str">
        <f t="shared" si="30"/>
        <v/>
      </c>
      <c r="H303" s="10" t="str">
        <f t="shared" ref="H303:H366" si="37">IF(G303&lt;=$B$18,PMT($B$9,$B$18-G302,-K302)+M303,"")</f>
        <v/>
      </c>
      <c r="I303" s="10" t="str">
        <f t="shared" ref="I303:I366" si="38">IF(G303&lt;=$B$18,K302*$B$9,"")</f>
        <v/>
      </c>
      <c r="J303" s="10" t="str">
        <f t="shared" si="31"/>
        <v/>
      </c>
      <c r="K303" s="10" t="str">
        <f t="shared" si="32"/>
        <v/>
      </c>
      <c r="L303" s="10" t="str">
        <f t="shared" si="33"/>
        <v/>
      </c>
      <c r="M303" s="13"/>
      <c r="N303" s="13"/>
    </row>
    <row r="304" spans="5:14" x14ac:dyDescent="0.3">
      <c r="E304" s="15" t="str">
        <f t="shared" si="34"/>
        <v/>
      </c>
      <c r="F304" s="15" t="s">
        <v>29</v>
      </c>
      <c r="G304" s="15" t="str">
        <f t="shared" si="30"/>
        <v/>
      </c>
      <c r="H304" s="10" t="str">
        <f t="shared" si="37"/>
        <v/>
      </c>
      <c r="I304" s="10" t="str">
        <f t="shared" si="38"/>
        <v/>
      </c>
      <c r="J304" s="10" t="str">
        <f t="shared" si="31"/>
        <v/>
      </c>
      <c r="K304" s="10" t="str">
        <f t="shared" si="32"/>
        <v/>
      </c>
      <c r="L304" s="10" t="str">
        <f t="shared" si="33"/>
        <v/>
      </c>
      <c r="M304" s="13"/>
      <c r="N304" s="13"/>
    </row>
    <row r="305" spans="5:14" x14ac:dyDescent="0.3">
      <c r="E305" s="15" t="str">
        <f t="shared" si="34"/>
        <v/>
      </c>
      <c r="F305" s="15" t="s">
        <v>30</v>
      </c>
      <c r="G305" s="15" t="str">
        <f t="shared" si="30"/>
        <v/>
      </c>
      <c r="H305" s="10" t="str">
        <f t="shared" si="37"/>
        <v/>
      </c>
      <c r="I305" s="10" t="str">
        <f t="shared" si="38"/>
        <v/>
      </c>
      <c r="J305" s="10" t="str">
        <f t="shared" si="31"/>
        <v/>
      </c>
      <c r="K305" s="10" t="str">
        <f t="shared" si="32"/>
        <v/>
      </c>
      <c r="L305" s="10" t="str">
        <f t="shared" si="33"/>
        <v/>
      </c>
      <c r="M305" s="13"/>
      <c r="N305" s="13"/>
    </row>
    <row r="306" spans="5:14" x14ac:dyDescent="0.3">
      <c r="E306" s="15" t="str">
        <f t="shared" si="34"/>
        <v/>
      </c>
      <c r="F306" s="15" t="s">
        <v>31</v>
      </c>
      <c r="G306" s="15" t="str">
        <f t="shared" si="30"/>
        <v/>
      </c>
      <c r="H306" s="10" t="str">
        <f t="shared" si="37"/>
        <v/>
      </c>
      <c r="I306" s="10" t="str">
        <f t="shared" si="38"/>
        <v/>
      </c>
      <c r="J306" s="10" t="str">
        <f t="shared" si="31"/>
        <v/>
      </c>
      <c r="K306" s="10" t="str">
        <f t="shared" si="32"/>
        <v/>
      </c>
      <c r="L306" s="10" t="str">
        <f t="shared" si="33"/>
        <v/>
      </c>
      <c r="M306" s="13"/>
      <c r="N306" s="13"/>
    </row>
    <row r="307" spans="5:14" x14ac:dyDescent="0.3">
      <c r="E307" s="15" t="str">
        <f t="shared" si="34"/>
        <v/>
      </c>
      <c r="F307" s="15" t="s">
        <v>32</v>
      </c>
      <c r="G307" s="15" t="str">
        <f t="shared" si="30"/>
        <v/>
      </c>
      <c r="H307" s="10" t="str">
        <f t="shared" si="37"/>
        <v/>
      </c>
      <c r="I307" s="10" t="str">
        <f t="shared" si="38"/>
        <v/>
      </c>
      <c r="J307" s="10" t="str">
        <f t="shared" si="31"/>
        <v/>
      </c>
      <c r="K307" s="10" t="str">
        <f t="shared" si="32"/>
        <v/>
      </c>
      <c r="L307" s="10" t="str">
        <f t="shared" si="33"/>
        <v/>
      </c>
      <c r="M307" s="13"/>
      <c r="N307" s="13"/>
    </row>
    <row r="308" spans="5:14" x14ac:dyDescent="0.3">
      <c r="E308" s="15" t="str">
        <f t="shared" si="34"/>
        <v/>
      </c>
      <c r="F308" s="15" t="s">
        <v>33</v>
      </c>
      <c r="G308" s="15" t="str">
        <f t="shared" si="30"/>
        <v/>
      </c>
      <c r="H308" s="10" t="str">
        <f t="shared" si="37"/>
        <v/>
      </c>
      <c r="I308" s="10" t="str">
        <f t="shared" si="38"/>
        <v/>
      </c>
      <c r="J308" s="10" t="str">
        <f t="shared" si="31"/>
        <v/>
      </c>
      <c r="K308" s="10" t="str">
        <f t="shared" si="32"/>
        <v/>
      </c>
      <c r="L308" s="10" t="str">
        <f t="shared" si="33"/>
        <v/>
      </c>
      <c r="M308" s="13"/>
      <c r="N308" s="13"/>
    </row>
    <row r="309" spans="5:14" x14ac:dyDescent="0.3">
      <c r="E309" s="15" t="str">
        <f t="shared" si="34"/>
        <v/>
      </c>
      <c r="F309" s="15" t="s">
        <v>34</v>
      </c>
      <c r="G309" s="15" t="str">
        <f t="shared" si="30"/>
        <v/>
      </c>
      <c r="H309" s="10" t="str">
        <f t="shared" si="37"/>
        <v/>
      </c>
      <c r="I309" s="10" t="str">
        <f t="shared" si="38"/>
        <v/>
      </c>
      <c r="J309" s="10" t="str">
        <f t="shared" si="31"/>
        <v/>
      </c>
      <c r="K309" s="10" t="str">
        <f t="shared" si="32"/>
        <v/>
      </c>
      <c r="L309" s="10" t="str">
        <f t="shared" si="33"/>
        <v/>
      </c>
      <c r="M309" s="13"/>
      <c r="N309" s="13"/>
    </row>
    <row r="310" spans="5:14" x14ac:dyDescent="0.3">
      <c r="E310" s="15" t="str">
        <f t="shared" si="34"/>
        <v/>
      </c>
      <c r="F310" s="15" t="s">
        <v>35</v>
      </c>
      <c r="G310" s="15" t="str">
        <f t="shared" si="30"/>
        <v/>
      </c>
      <c r="H310" s="10" t="str">
        <f t="shared" si="37"/>
        <v/>
      </c>
      <c r="I310" s="10" t="str">
        <f t="shared" si="38"/>
        <v/>
      </c>
      <c r="J310" s="10" t="str">
        <f t="shared" si="31"/>
        <v/>
      </c>
      <c r="K310" s="10" t="str">
        <f t="shared" si="32"/>
        <v/>
      </c>
      <c r="L310" s="10" t="str">
        <f t="shared" si="33"/>
        <v/>
      </c>
      <c r="M310" s="13"/>
      <c r="N310" s="13"/>
    </row>
    <row r="311" spans="5:14" x14ac:dyDescent="0.3">
      <c r="E311" s="15" t="str">
        <f t="shared" si="34"/>
        <v/>
      </c>
      <c r="F311" s="15" t="s">
        <v>36</v>
      </c>
      <c r="G311" s="15" t="str">
        <f t="shared" si="30"/>
        <v/>
      </c>
      <c r="H311" s="10" t="str">
        <f t="shared" si="37"/>
        <v/>
      </c>
      <c r="I311" s="10" t="str">
        <f t="shared" si="38"/>
        <v/>
      </c>
      <c r="J311" s="10" t="str">
        <f t="shared" si="31"/>
        <v/>
      </c>
      <c r="K311" s="10" t="str">
        <f t="shared" si="32"/>
        <v/>
      </c>
      <c r="L311" s="10" t="str">
        <f t="shared" si="33"/>
        <v/>
      </c>
      <c r="M311" s="13"/>
      <c r="N311" s="13"/>
    </row>
    <row r="312" spans="5:14" x14ac:dyDescent="0.3">
      <c r="E312" s="15" t="str">
        <f t="shared" si="34"/>
        <v/>
      </c>
      <c r="F312" s="15" t="s">
        <v>37</v>
      </c>
      <c r="G312" s="15" t="str">
        <f t="shared" si="30"/>
        <v/>
      </c>
      <c r="H312" s="10" t="str">
        <f t="shared" si="37"/>
        <v/>
      </c>
      <c r="I312" s="10" t="str">
        <f t="shared" si="38"/>
        <v/>
      </c>
      <c r="J312" s="10" t="str">
        <f t="shared" si="31"/>
        <v/>
      </c>
      <c r="K312" s="10" t="str">
        <f t="shared" si="32"/>
        <v/>
      </c>
      <c r="L312" s="10" t="str">
        <f t="shared" si="33"/>
        <v/>
      </c>
      <c r="M312" s="13"/>
      <c r="N312" s="13"/>
    </row>
    <row r="313" spans="5:14" x14ac:dyDescent="0.3">
      <c r="E313" s="15" t="str">
        <f t="shared" si="34"/>
        <v/>
      </c>
      <c r="F313" s="15" t="s">
        <v>38</v>
      </c>
      <c r="G313" s="15" t="str">
        <f t="shared" si="30"/>
        <v/>
      </c>
      <c r="H313" s="10" t="str">
        <f t="shared" si="37"/>
        <v/>
      </c>
      <c r="I313" s="10" t="str">
        <f t="shared" si="38"/>
        <v/>
      </c>
      <c r="J313" s="10" t="str">
        <f t="shared" si="31"/>
        <v/>
      </c>
      <c r="K313" s="10" t="str">
        <f t="shared" si="32"/>
        <v/>
      </c>
      <c r="L313" s="10" t="str">
        <f t="shared" si="33"/>
        <v/>
      </c>
      <c r="M313" s="13"/>
      <c r="N313" s="13"/>
    </row>
    <row r="314" spans="5:14" x14ac:dyDescent="0.3">
      <c r="E314" s="15" t="str">
        <f t="shared" si="34"/>
        <v/>
      </c>
      <c r="F314" s="15" t="s">
        <v>27</v>
      </c>
      <c r="G314" s="15" t="str">
        <f t="shared" si="30"/>
        <v/>
      </c>
      <c r="H314" s="10" t="str">
        <f t="shared" si="37"/>
        <v/>
      </c>
      <c r="I314" s="10" t="str">
        <f t="shared" si="38"/>
        <v/>
      </c>
      <c r="J314" s="10" t="str">
        <f t="shared" si="31"/>
        <v/>
      </c>
      <c r="K314" s="10" t="str">
        <f t="shared" si="32"/>
        <v/>
      </c>
      <c r="L314" s="10" t="str">
        <f t="shared" si="33"/>
        <v/>
      </c>
      <c r="M314" s="13"/>
      <c r="N314" s="13"/>
    </row>
    <row r="315" spans="5:14" x14ac:dyDescent="0.3">
      <c r="E315" s="15" t="str">
        <f t="shared" si="34"/>
        <v/>
      </c>
      <c r="F315" s="15" t="s">
        <v>28</v>
      </c>
      <c r="G315" s="15" t="str">
        <f t="shared" si="30"/>
        <v/>
      </c>
      <c r="H315" s="10" t="str">
        <f t="shared" si="37"/>
        <v/>
      </c>
      <c r="I315" s="10" t="str">
        <f t="shared" si="38"/>
        <v/>
      </c>
      <c r="J315" s="10" t="str">
        <f t="shared" si="31"/>
        <v/>
      </c>
      <c r="K315" s="10" t="str">
        <f t="shared" si="32"/>
        <v/>
      </c>
      <c r="L315" s="10" t="str">
        <f t="shared" si="33"/>
        <v/>
      </c>
      <c r="M315" s="13"/>
      <c r="N315" s="13"/>
    </row>
    <row r="316" spans="5:14" x14ac:dyDescent="0.3">
      <c r="E316" s="15" t="str">
        <f t="shared" si="34"/>
        <v/>
      </c>
      <c r="F316" s="15" t="s">
        <v>29</v>
      </c>
      <c r="G316" s="15" t="str">
        <f t="shared" si="30"/>
        <v/>
      </c>
      <c r="H316" s="10" t="str">
        <f t="shared" si="37"/>
        <v/>
      </c>
      <c r="I316" s="10" t="str">
        <f t="shared" si="38"/>
        <v/>
      </c>
      <c r="J316" s="10" t="str">
        <f t="shared" si="31"/>
        <v/>
      </c>
      <c r="K316" s="10" t="str">
        <f t="shared" si="32"/>
        <v/>
      </c>
      <c r="L316" s="10" t="str">
        <f t="shared" si="33"/>
        <v/>
      </c>
      <c r="M316" s="13"/>
      <c r="N316" s="13"/>
    </row>
    <row r="317" spans="5:14" x14ac:dyDescent="0.3">
      <c r="E317" s="15" t="str">
        <f t="shared" si="34"/>
        <v/>
      </c>
      <c r="F317" s="15" t="s">
        <v>30</v>
      </c>
      <c r="G317" s="15" t="str">
        <f t="shared" si="30"/>
        <v/>
      </c>
      <c r="H317" s="10" t="str">
        <f t="shared" si="37"/>
        <v/>
      </c>
      <c r="I317" s="10" t="str">
        <f t="shared" si="38"/>
        <v/>
      </c>
      <c r="J317" s="10" t="str">
        <f t="shared" si="31"/>
        <v/>
      </c>
      <c r="K317" s="10" t="str">
        <f t="shared" si="32"/>
        <v/>
      </c>
      <c r="L317" s="10" t="str">
        <f t="shared" si="33"/>
        <v/>
      </c>
      <c r="M317" s="13"/>
      <c r="N317" s="13"/>
    </row>
    <row r="318" spans="5:14" x14ac:dyDescent="0.3">
      <c r="E318" s="15" t="str">
        <f t="shared" si="34"/>
        <v/>
      </c>
      <c r="F318" s="15" t="s">
        <v>31</v>
      </c>
      <c r="G318" s="15" t="str">
        <f t="shared" si="30"/>
        <v/>
      </c>
      <c r="H318" s="10" t="str">
        <f t="shared" si="37"/>
        <v/>
      </c>
      <c r="I318" s="10" t="str">
        <f t="shared" si="38"/>
        <v/>
      </c>
      <c r="J318" s="10" t="str">
        <f t="shared" si="31"/>
        <v/>
      </c>
      <c r="K318" s="10" t="str">
        <f t="shared" si="32"/>
        <v/>
      </c>
      <c r="L318" s="10" t="str">
        <f t="shared" si="33"/>
        <v/>
      </c>
      <c r="M318" s="13"/>
      <c r="N318" s="13"/>
    </row>
    <row r="319" spans="5:14" x14ac:dyDescent="0.3">
      <c r="E319" s="15" t="str">
        <f t="shared" si="34"/>
        <v/>
      </c>
      <c r="F319" s="15" t="s">
        <v>32</v>
      </c>
      <c r="G319" s="15" t="str">
        <f t="shared" si="30"/>
        <v/>
      </c>
      <c r="H319" s="10" t="str">
        <f t="shared" si="37"/>
        <v/>
      </c>
      <c r="I319" s="10" t="str">
        <f t="shared" si="38"/>
        <v/>
      </c>
      <c r="J319" s="10" t="str">
        <f t="shared" si="31"/>
        <v/>
      </c>
      <c r="K319" s="10" t="str">
        <f t="shared" si="32"/>
        <v/>
      </c>
      <c r="L319" s="10" t="str">
        <f t="shared" si="33"/>
        <v/>
      </c>
      <c r="M319" s="13"/>
      <c r="N319" s="13"/>
    </row>
    <row r="320" spans="5:14" x14ac:dyDescent="0.3">
      <c r="E320" s="15" t="str">
        <f t="shared" si="34"/>
        <v/>
      </c>
      <c r="F320" s="15" t="s">
        <v>33</v>
      </c>
      <c r="G320" s="15" t="str">
        <f t="shared" si="30"/>
        <v/>
      </c>
      <c r="H320" s="10" t="str">
        <f t="shared" si="37"/>
        <v/>
      </c>
      <c r="I320" s="10" t="str">
        <f t="shared" si="38"/>
        <v/>
      </c>
      <c r="J320" s="10" t="str">
        <f t="shared" si="31"/>
        <v/>
      </c>
      <c r="K320" s="10" t="str">
        <f t="shared" si="32"/>
        <v/>
      </c>
      <c r="L320" s="10" t="str">
        <f t="shared" si="33"/>
        <v/>
      </c>
      <c r="M320" s="13"/>
      <c r="N320" s="13"/>
    </row>
    <row r="321" spans="5:14" x14ac:dyDescent="0.3">
      <c r="E321" s="15" t="str">
        <f t="shared" si="34"/>
        <v/>
      </c>
      <c r="F321" s="15" t="s">
        <v>34</v>
      </c>
      <c r="G321" s="15" t="str">
        <f t="shared" si="30"/>
        <v/>
      </c>
      <c r="H321" s="10" t="str">
        <f t="shared" si="37"/>
        <v/>
      </c>
      <c r="I321" s="10" t="str">
        <f t="shared" si="38"/>
        <v/>
      </c>
      <c r="J321" s="10" t="str">
        <f t="shared" si="31"/>
        <v/>
      </c>
      <c r="K321" s="10" t="str">
        <f t="shared" si="32"/>
        <v/>
      </c>
      <c r="L321" s="10" t="str">
        <f t="shared" si="33"/>
        <v/>
      </c>
      <c r="M321" s="13"/>
      <c r="N321" s="13"/>
    </row>
    <row r="322" spans="5:14" x14ac:dyDescent="0.3">
      <c r="E322" s="15" t="str">
        <f t="shared" si="34"/>
        <v/>
      </c>
      <c r="F322" s="15" t="s">
        <v>35</v>
      </c>
      <c r="G322" s="15" t="str">
        <f t="shared" si="30"/>
        <v/>
      </c>
      <c r="H322" s="10" t="str">
        <f t="shared" si="37"/>
        <v/>
      </c>
      <c r="I322" s="10" t="str">
        <f t="shared" si="38"/>
        <v/>
      </c>
      <c r="J322" s="10" t="str">
        <f t="shared" si="31"/>
        <v/>
      </c>
      <c r="K322" s="10" t="str">
        <f t="shared" si="32"/>
        <v/>
      </c>
      <c r="L322" s="10" t="str">
        <f t="shared" si="33"/>
        <v/>
      </c>
      <c r="M322" s="13"/>
      <c r="N322" s="13"/>
    </row>
    <row r="323" spans="5:14" x14ac:dyDescent="0.3">
      <c r="E323" s="15" t="str">
        <f t="shared" si="34"/>
        <v/>
      </c>
      <c r="F323" s="15" t="s">
        <v>36</v>
      </c>
      <c r="G323" s="15" t="str">
        <f t="shared" ref="G323:G386" si="39">IF(G322&gt;=$B$18,"",G322+1)</f>
        <v/>
      </c>
      <c r="H323" s="10" t="str">
        <f t="shared" si="37"/>
        <v/>
      </c>
      <c r="I323" s="10" t="str">
        <f t="shared" si="38"/>
        <v/>
      </c>
      <c r="J323" s="10" t="str">
        <f t="shared" ref="J323:J386" si="40">IF(G323&lt;=$B$18,H323-I323,"")</f>
        <v/>
      </c>
      <c r="K323" s="10" t="str">
        <f t="shared" ref="K323:K386" si="41">IF(G323&lt;=$B$18,K322-J323,"")</f>
        <v/>
      </c>
      <c r="L323" s="10" t="str">
        <f t="shared" ref="L323:L386" si="42">IF(G323&lt;=$B$18,L322+J323,"")</f>
        <v/>
      </c>
      <c r="M323" s="13"/>
      <c r="N323" s="13"/>
    </row>
    <row r="324" spans="5:14" x14ac:dyDescent="0.3">
      <c r="E324" s="15" t="str">
        <f t="shared" ref="E324:E387" si="43">IF(G323&gt;=$B$18,"",INT(G323/12)+1)</f>
        <v/>
      </c>
      <c r="F324" s="15" t="s">
        <v>37</v>
      </c>
      <c r="G324" s="15" t="str">
        <f t="shared" si="39"/>
        <v/>
      </c>
      <c r="H324" s="10" t="str">
        <f t="shared" si="37"/>
        <v/>
      </c>
      <c r="I324" s="10" t="str">
        <f t="shared" si="38"/>
        <v/>
      </c>
      <c r="J324" s="10" t="str">
        <f t="shared" si="40"/>
        <v/>
      </c>
      <c r="K324" s="10" t="str">
        <f t="shared" si="41"/>
        <v/>
      </c>
      <c r="L324" s="10" t="str">
        <f t="shared" si="42"/>
        <v/>
      </c>
      <c r="M324" s="13"/>
      <c r="N324" s="13"/>
    </row>
    <row r="325" spans="5:14" x14ac:dyDescent="0.3">
      <c r="E325" s="15" t="str">
        <f t="shared" si="43"/>
        <v/>
      </c>
      <c r="F325" s="15" t="s">
        <v>38</v>
      </c>
      <c r="G325" s="15" t="str">
        <f t="shared" si="39"/>
        <v/>
      </c>
      <c r="H325" s="10" t="str">
        <f t="shared" si="37"/>
        <v/>
      </c>
      <c r="I325" s="10" t="str">
        <f t="shared" si="38"/>
        <v/>
      </c>
      <c r="J325" s="10" t="str">
        <f t="shared" si="40"/>
        <v/>
      </c>
      <c r="K325" s="10" t="str">
        <f t="shared" si="41"/>
        <v/>
      </c>
      <c r="L325" s="10" t="str">
        <f t="shared" si="42"/>
        <v/>
      </c>
      <c r="M325" s="13"/>
      <c r="N325" s="13"/>
    </row>
    <row r="326" spans="5:14" x14ac:dyDescent="0.3">
      <c r="E326" s="15" t="str">
        <f t="shared" si="43"/>
        <v/>
      </c>
      <c r="F326" s="15" t="s">
        <v>27</v>
      </c>
      <c r="G326" s="15" t="str">
        <f t="shared" si="39"/>
        <v/>
      </c>
      <c r="H326" s="10" t="str">
        <f t="shared" si="37"/>
        <v/>
      </c>
      <c r="I326" s="10" t="str">
        <f t="shared" si="38"/>
        <v/>
      </c>
      <c r="J326" s="10" t="str">
        <f t="shared" si="40"/>
        <v/>
      </c>
      <c r="K326" s="10" t="str">
        <f t="shared" si="41"/>
        <v/>
      </c>
      <c r="L326" s="10" t="str">
        <f t="shared" si="42"/>
        <v/>
      </c>
      <c r="M326" s="13"/>
      <c r="N326" s="13"/>
    </row>
    <row r="327" spans="5:14" x14ac:dyDescent="0.3">
      <c r="E327" s="15" t="str">
        <f t="shared" si="43"/>
        <v/>
      </c>
      <c r="F327" s="15" t="s">
        <v>28</v>
      </c>
      <c r="G327" s="15" t="str">
        <f t="shared" si="39"/>
        <v/>
      </c>
      <c r="H327" s="10" t="str">
        <f t="shared" si="37"/>
        <v/>
      </c>
      <c r="I327" s="10" t="str">
        <f t="shared" si="38"/>
        <v/>
      </c>
      <c r="J327" s="10" t="str">
        <f t="shared" si="40"/>
        <v/>
      </c>
      <c r="K327" s="10" t="str">
        <f t="shared" si="41"/>
        <v/>
      </c>
      <c r="L327" s="10" t="str">
        <f t="shared" si="42"/>
        <v/>
      </c>
      <c r="M327" s="13"/>
      <c r="N327" s="13"/>
    </row>
    <row r="328" spans="5:14" x14ac:dyDescent="0.3">
      <c r="E328" s="15" t="str">
        <f t="shared" si="43"/>
        <v/>
      </c>
      <c r="F328" s="15" t="s">
        <v>29</v>
      </c>
      <c r="G328" s="15" t="str">
        <f t="shared" si="39"/>
        <v/>
      </c>
      <c r="H328" s="10" t="str">
        <f t="shared" si="37"/>
        <v/>
      </c>
      <c r="I328" s="10" t="str">
        <f t="shared" si="38"/>
        <v/>
      </c>
      <c r="J328" s="10" t="str">
        <f t="shared" si="40"/>
        <v/>
      </c>
      <c r="K328" s="10" t="str">
        <f t="shared" si="41"/>
        <v/>
      </c>
      <c r="L328" s="10" t="str">
        <f t="shared" si="42"/>
        <v/>
      </c>
      <c r="M328" s="13"/>
      <c r="N328" s="13"/>
    </row>
    <row r="329" spans="5:14" x14ac:dyDescent="0.3">
      <c r="E329" s="15" t="str">
        <f t="shared" si="43"/>
        <v/>
      </c>
      <c r="F329" s="15" t="s">
        <v>30</v>
      </c>
      <c r="G329" s="15" t="str">
        <f t="shared" si="39"/>
        <v/>
      </c>
      <c r="H329" s="10" t="str">
        <f t="shared" si="37"/>
        <v/>
      </c>
      <c r="I329" s="10" t="str">
        <f t="shared" si="38"/>
        <v/>
      </c>
      <c r="J329" s="10" t="str">
        <f t="shared" si="40"/>
        <v/>
      </c>
      <c r="K329" s="10" t="str">
        <f t="shared" si="41"/>
        <v/>
      </c>
      <c r="L329" s="10" t="str">
        <f t="shared" si="42"/>
        <v/>
      </c>
      <c r="M329" s="13"/>
      <c r="N329" s="13"/>
    </row>
    <row r="330" spans="5:14" x14ac:dyDescent="0.3">
      <c r="E330" s="15" t="str">
        <f t="shared" si="43"/>
        <v/>
      </c>
      <c r="F330" s="15" t="s">
        <v>31</v>
      </c>
      <c r="G330" s="15" t="str">
        <f t="shared" si="39"/>
        <v/>
      </c>
      <c r="H330" s="10" t="str">
        <f t="shared" si="37"/>
        <v/>
      </c>
      <c r="I330" s="10" t="str">
        <f t="shared" si="38"/>
        <v/>
      </c>
      <c r="J330" s="10" t="str">
        <f t="shared" si="40"/>
        <v/>
      </c>
      <c r="K330" s="10" t="str">
        <f t="shared" si="41"/>
        <v/>
      </c>
      <c r="L330" s="10" t="str">
        <f t="shared" si="42"/>
        <v/>
      </c>
      <c r="M330" s="13"/>
      <c r="N330" s="13"/>
    </row>
    <row r="331" spans="5:14" x14ac:dyDescent="0.3">
      <c r="E331" s="15" t="str">
        <f t="shared" si="43"/>
        <v/>
      </c>
      <c r="F331" s="15" t="s">
        <v>32</v>
      </c>
      <c r="G331" s="15" t="str">
        <f t="shared" si="39"/>
        <v/>
      </c>
      <c r="H331" s="10" t="str">
        <f t="shared" si="37"/>
        <v/>
      </c>
      <c r="I331" s="10" t="str">
        <f t="shared" si="38"/>
        <v/>
      </c>
      <c r="J331" s="10" t="str">
        <f t="shared" si="40"/>
        <v/>
      </c>
      <c r="K331" s="10" t="str">
        <f t="shared" si="41"/>
        <v/>
      </c>
      <c r="L331" s="10" t="str">
        <f t="shared" si="42"/>
        <v/>
      </c>
      <c r="M331" s="13"/>
      <c r="N331" s="13"/>
    </row>
    <row r="332" spans="5:14" x14ac:dyDescent="0.3">
      <c r="E332" s="15" t="str">
        <f t="shared" si="43"/>
        <v/>
      </c>
      <c r="F332" s="15" t="s">
        <v>33</v>
      </c>
      <c r="G332" s="15" t="str">
        <f t="shared" si="39"/>
        <v/>
      </c>
      <c r="H332" s="10" t="str">
        <f t="shared" si="37"/>
        <v/>
      </c>
      <c r="I332" s="10" t="str">
        <f t="shared" si="38"/>
        <v/>
      </c>
      <c r="J332" s="10" t="str">
        <f t="shared" si="40"/>
        <v/>
      </c>
      <c r="K332" s="10" t="str">
        <f t="shared" si="41"/>
        <v/>
      </c>
      <c r="L332" s="10" t="str">
        <f t="shared" si="42"/>
        <v/>
      </c>
      <c r="M332" s="13"/>
      <c r="N332" s="13"/>
    </row>
    <row r="333" spans="5:14" x14ac:dyDescent="0.3">
      <c r="E333" s="15" t="str">
        <f t="shared" si="43"/>
        <v/>
      </c>
      <c r="F333" s="15" t="s">
        <v>34</v>
      </c>
      <c r="G333" s="15" t="str">
        <f t="shared" si="39"/>
        <v/>
      </c>
      <c r="H333" s="10" t="str">
        <f t="shared" si="37"/>
        <v/>
      </c>
      <c r="I333" s="10" t="str">
        <f t="shared" si="38"/>
        <v/>
      </c>
      <c r="J333" s="10" t="str">
        <f t="shared" si="40"/>
        <v/>
      </c>
      <c r="K333" s="10" t="str">
        <f t="shared" si="41"/>
        <v/>
      </c>
      <c r="L333" s="10" t="str">
        <f t="shared" si="42"/>
        <v/>
      </c>
      <c r="M333" s="13"/>
      <c r="N333" s="13"/>
    </row>
    <row r="334" spans="5:14" x14ac:dyDescent="0.3">
      <c r="E334" s="15" t="str">
        <f t="shared" si="43"/>
        <v/>
      </c>
      <c r="F334" s="15" t="s">
        <v>35</v>
      </c>
      <c r="G334" s="15" t="str">
        <f t="shared" si="39"/>
        <v/>
      </c>
      <c r="H334" s="10" t="str">
        <f t="shared" si="37"/>
        <v/>
      </c>
      <c r="I334" s="10" t="str">
        <f t="shared" si="38"/>
        <v/>
      </c>
      <c r="J334" s="10" t="str">
        <f t="shared" si="40"/>
        <v/>
      </c>
      <c r="K334" s="10" t="str">
        <f t="shared" si="41"/>
        <v/>
      </c>
      <c r="L334" s="10" t="str">
        <f t="shared" si="42"/>
        <v/>
      </c>
      <c r="M334" s="13"/>
      <c r="N334" s="13"/>
    </row>
    <row r="335" spans="5:14" x14ac:dyDescent="0.3">
      <c r="E335" s="15" t="str">
        <f t="shared" si="43"/>
        <v/>
      </c>
      <c r="F335" s="15" t="s">
        <v>36</v>
      </c>
      <c r="G335" s="15" t="str">
        <f t="shared" si="39"/>
        <v/>
      </c>
      <c r="H335" s="10" t="str">
        <f t="shared" si="37"/>
        <v/>
      </c>
      <c r="I335" s="10" t="str">
        <f t="shared" si="38"/>
        <v/>
      </c>
      <c r="J335" s="10" t="str">
        <f t="shared" si="40"/>
        <v/>
      </c>
      <c r="K335" s="10" t="str">
        <f t="shared" si="41"/>
        <v/>
      </c>
      <c r="L335" s="10" t="str">
        <f t="shared" si="42"/>
        <v/>
      </c>
      <c r="M335" s="13"/>
      <c r="N335" s="13"/>
    </row>
    <row r="336" spans="5:14" x14ac:dyDescent="0.3">
      <c r="E336" s="15" t="str">
        <f t="shared" si="43"/>
        <v/>
      </c>
      <c r="F336" s="15" t="s">
        <v>37</v>
      </c>
      <c r="G336" s="15" t="str">
        <f t="shared" si="39"/>
        <v/>
      </c>
      <c r="H336" s="10" t="str">
        <f t="shared" si="37"/>
        <v/>
      </c>
      <c r="I336" s="10" t="str">
        <f t="shared" si="38"/>
        <v/>
      </c>
      <c r="J336" s="10" t="str">
        <f t="shared" si="40"/>
        <v/>
      </c>
      <c r="K336" s="10" t="str">
        <f t="shared" si="41"/>
        <v/>
      </c>
      <c r="L336" s="10" t="str">
        <f t="shared" si="42"/>
        <v/>
      </c>
      <c r="M336" s="13"/>
      <c r="N336" s="13"/>
    </row>
    <row r="337" spans="5:14" x14ac:dyDescent="0.3">
      <c r="E337" s="15" t="str">
        <f t="shared" si="43"/>
        <v/>
      </c>
      <c r="F337" s="15" t="s">
        <v>38</v>
      </c>
      <c r="G337" s="15" t="str">
        <f t="shared" si="39"/>
        <v/>
      </c>
      <c r="H337" s="10" t="str">
        <f t="shared" si="37"/>
        <v/>
      </c>
      <c r="I337" s="10" t="str">
        <f t="shared" si="38"/>
        <v/>
      </c>
      <c r="J337" s="10" t="str">
        <f t="shared" si="40"/>
        <v/>
      </c>
      <c r="K337" s="10" t="str">
        <f t="shared" si="41"/>
        <v/>
      </c>
      <c r="L337" s="10" t="str">
        <f t="shared" si="42"/>
        <v/>
      </c>
      <c r="M337" s="13"/>
      <c r="N337" s="13"/>
    </row>
    <row r="338" spans="5:14" x14ac:dyDescent="0.3">
      <c r="E338" s="15" t="str">
        <f t="shared" si="43"/>
        <v/>
      </c>
      <c r="F338" s="15" t="s">
        <v>27</v>
      </c>
      <c r="G338" s="15" t="str">
        <f t="shared" si="39"/>
        <v/>
      </c>
      <c r="H338" s="10" t="str">
        <f t="shared" si="37"/>
        <v/>
      </c>
      <c r="I338" s="10" t="str">
        <f t="shared" si="38"/>
        <v/>
      </c>
      <c r="J338" s="10" t="str">
        <f t="shared" si="40"/>
        <v/>
      </c>
      <c r="K338" s="10" t="str">
        <f t="shared" si="41"/>
        <v/>
      </c>
      <c r="L338" s="10" t="str">
        <f t="shared" si="42"/>
        <v/>
      </c>
      <c r="M338" s="13"/>
      <c r="N338" s="13"/>
    </row>
    <row r="339" spans="5:14" x14ac:dyDescent="0.3">
      <c r="E339" s="15" t="str">
        <f t="shared" si="43"/>
        <v/>
      </c>
      <c r="F339" s="15" t="s">
        <v>28</v>
      </c>
      <c r="G339" s="15" t="str">
        <f t="shared" si="39"/>
        <v/>
      </c>
      <c r="H339" s="10" t="str">
        <f t="shared" si="37"/>
        <v/>
      </c>
      <c r="I339" s="10" t="str">
        <f t="shared" si="38"/>
        <v/>
      </c>
      <c r="J339" s="10" t="str">
        <f t="shared" si="40"/>
        <v/>
      </c>
      <c r="K339" s="10" t="str">
        <f t="shared" si="41"/>
        <v/>
      </c>
      <c r="L339" s="10" t="str">
        <f t="shared" si="42"/>
        <v/>
      </c>
      <c r="M339" s="13"/>
      <c r="N339" s="13"/>
    </row>
    <row r="340" spans="5:14" x14ac:dyDescent="0.3">
      <c r="E340" s="15" t="str">
        <f t="shared" si="43"/>
        <v/>
      </c>
      <c r="F340" s="15" t="s">
        <v>29</v>
      </c>
      <c r="G340" s="15" t="str">
        <f t="shared" si="39"/>
        <v/>
      </c>
      <c r="H340" s="10" t="str">
        <f t="shared" si="37"/>
        <v/>
      </c>
      <c r="I340" s="10" t="str">
        <f t="shared" si="38"/>
        <v/>
      </c>
      <c r="J340" s="10" t="str">
        <f t="shared" si="40"/>
        <v/>
      </c>
      <c r="K340" s="10" t="str">
        <f t="shared" si="41"/>
        <v/>
      </c>
      <c r="L340" s="10" t="str">
        <f t="shared" si="42"/>
        <v/>
      </c>
      <c r="M340" s="13"/>
      <c r="N340" s="13"/>
    </row>
    <row r="341" spans="5:14" x14ac:dyDescent="0.3">
      <c r="E341" s="15" t="str">
        <f t="shared" si="43"/>
        <v/>
      </c>
      <c r="F341" s="15" t="s">
        <v>30</v>
      </c>
      <c r="G341" s="15" t="str">
        <f t="shared" si="39"/>
        <v/>
      </c>
      <c r="H341" s="10" t="str">
        <f t="shared" si="37"/>
        <v/>
      </c>
      <c r="I341" s="10" t="str">
        <f t="shared" si="38"/>
        <v/>
      </c>
      <c r="J341" s="10" t="str">
        <f t="shared" si="40"/>
        <v/>
      </c>
      <c r="K341" s="10" t="str">
        <f t="shared" si="41"/>
        <v/>
      </c>
      <c r="L341" s="10" t="str">
        <f t="shared" si="42"/>
        <v/>
      </c>
      <c r="M341" s="13"/>
      <c r="N341" s="13"/>
    </row>
    <row r="342" spans="5:14" x14ac:dyDescent="0.3">
      <c r="E342" s="15" t="str">
        <f t="shared" si="43"/>
        <v/>
      </c>
      <c r="F342" s="15" t="s">
        <v>31</v>
      </c>
      <c r="G342" s="15" t="str">
        <f t="shared" si="39"/>
        <v/>
      </c>
      <c r="H342" s="10" t="str">
        <f t="shared" si="37"/>
        <v/>
      </c>
      <c r="I342" s="10" t="str">
        <f t="shared" si="38"/>
        <v/>
      </c>
      <c r="J342" s="10" t="str">
        <f t="shared" si="40"/>
        <v/>
      </c>
      <c r="K342" s="10" t="str">
        <f t="shared" si="41"/>
        <v/>
      </c>
      <c r="L342" s="10" t="str">
        <f t="shared" si="42"/>
        <v/>
      </c>
      <c r="M342" s="13"/>
      <c r="N342" s="13"/>
    </row>
    <row r="343" spans="5:14" x14ac:dyDescent="0.3">
      <c r="E343" s="15" t="str">
        <f t="shared" si="43"/>
        <v/>
      </c>
      <c r="F343" s="15" t="s">
        <v>32</v>
      </c>
      <c r="G343" s="15" t="str">
        <f t="shared" si="39"/>
        <v/>
      </c>
      <c r="H343" s="10" t="str">
        <f t="shared" si="37"/>
        <v/>
      </c>
      <c r="I343" s="10" t="str">
        <f t="shared" si="38"/>
        <v/>
      </c>
      <c r="J343" s="10" t="str">
        <f t="shared" si="40"/>
        <v/>
      </c>
      <c r="K343" s="10" t="str">
        <f t="shared" si="41"/>
        <v/>
      </c>
      <c r="L343" s="10" t="str">
        <f t="shared" si="42"/>
        <v/>
      </c>
      <c r="M343" s="13"/>
      <c r="N343" s="13"/>
    </row>
    <row r="344" spans="5:14" x14ac:dyDescent="0.3">
      <c r="E344" s="15" t="str">
        <f t="shared" si="43"/>
        <v/>
      </c>
      <c r="F344" s="15" t="s">
        <v>33</v>
      </c>
      <c r="G344" s="15" t="str">
        <f t="shared" si="39"/>
        <v/>
      </c>
      <c r="H344" s="10" t="str">
        <f t="shared" si="37"/>
        <v/>
      </c>
      <c r="I344" s="10" t="str">
        <f t="shared" si="38"/>
        <v/>
      </c>
      <c r="J344" s="10" t="str">
        <f t="shared" si="40"/>
        <v/>
      </c>
      <c r="K344" s="10" t="str">
        <f t="shared" si="41"/>
        <v/>
      </c>
      <c r="L344" s="10" t="str">
        <f t="shared" si="42"/>
        <v/>
      </c>
      <c r="M344" s="13"/>
      <c r="N344" s="13"/>
    </row>
    <row r="345" spans="5:14" x14ac:dyDescent="0.3">
      <c r="E345" s="15" t="str">
        <f t="shared" si="43"/>
        <v/>
      </c>
      <c r="F345" s="15" t="s">
        <v>34</v>
      </c>
      <c r="G345" s="15" t="str">
        <f t="shared" si="39"/>
        <v/>
      </c>
      <c r="H345" s="10" t="str">
        <f t="shared" si="37"/>
        <v/>
      </c>
      <c r="I345" s="10" t="str">
        <f t="shared" si="38"/>
        <v/>
      </c>
      <c r="J345" s="10" t="str">
        <f t="shared" si="40"/>
        <v/>
      </c>
      <c r="K345" s="10" t="str">
        <f t="shared" si="41"/>
        <v/>
      </c>
      <c r="L345" s="10" t="str">
        <f t="shared" si="42"/>
        <v/>
      </c>
      <c r="M345" s="13"/>
      <c r="N345" s="13"/>
    </row>
    <row r="346" spans="5:14" x14ac:dyDescent="0.3">
      <c r="E346" s="15" t="str">
        <f t="shared" si="43"/>
        <v/>
      </c>
      <c r="F346" s="15" t="s">
        <v>35</v>
      </c>
      <c r="G346" s="15" t="str">
        <f t="shared" si="39"/>
        <v/>
      </c>
      <c r="H346" s="10" t="str">
        <f t="shared" si="37"/>
        <v/>
      </c>
      <c r="I346" s="10" t="str">
        <f t="shared" si="38"/>
        <v/>
      </c>
      <c r="J346" s="10" t="str">
        <f t="shared" si="40"/>
        <v/>
      </c>
      <c r="K346" s="10" t="str">
        <f t="shared" si="41"/>
        <v/>
      </c>
      <c r="L346" s="10" t="str">
        <f t="shared" si="42"/>
        <v/>
      </c>
      <c r="M346" s="13"/>
      <c r="N346" s="13"/>
    </row>
    <row r="347" spans="5:14" x14ac:dyDescent="0.3">
      <c r="E347" s="15" t="str">
        <f t="shared" si="43"/>
        <v/>
      </c>
      <c r="F347" s="15" t="s">
        <v>36</v>
      </c>
      <c r="G347" s="15" t="str">
        <f t="shared" si="39"/>
        <v/>
      </c>
      <c r="H347" s="10" t="str">
        <f t="shared" si="37"/>
        <v/>
      </c>
      <c r="I347" s="10" t="str">
        <f t="shared" si="38"/>
        <v/>
      </c>
      <c r="J347" s="10" t="str">
        <f t="shared" si="40"/>
        <v/>
      </c>
      <c r="K347" s="10" t="str">
        <f t="shared" si="41"/>
        <v/>
      </c>
      <c r="L347" s="10" t="str">
        <f t="shared" si="42"/>
        <v/>
      </c>
      <c r="M347" s="13"/>
      <c r="N347" s="13"/>
    </row>
    <row r="348" spans="5:14" x14ac:dyDescent="0.3">
      <c r="E348" s="15" t="str">
        <f t="shared" si="43"/>
        <v/>
      </c>
      <c r="F348" s="15" t="s">
        <v>37</v>
      </c>
      <c r="G348" s="15" t="str">
        <f t="shared" si="39"/>
        <v/>
      </c>
      <c r="H348" s="10" t="str">
        <f t="shared" si="37"/>
        <v/>
      </c>
      <c r="I348" s="10" t="str">
        <f t="shared" si="38"/>
        <v/>
      </c>
      <c r="J348" s="10" t="str">
        <f t="shared" si="40"/>
        <v/>
      </c>
      <c r="K348" s="10" t="str">
        <f t="shared" si="41"/>
        <v/>
      </c>
      <c r="L348" s="10" t="str">
        <f t="shared" si="42"/>
        <v/>
      </c>
      <c r="M348" s="13"/>
      <c r="N348" s="13"/>
    </row>
    <row r="349" spans="5:14" x14ac:dyDescent="0.3">
      <c r="E349" s="15" t="str">
        <f t="shared" si="43"/>
        <v/>
      </c>
      <c r="F349" s="15" t="s">
        <v>38</v>
      </c>
      <c r="G349" s="15" t="str">
        <f t="shared" si="39"/>
        <v/>
      </c>
      <c r="H349" s="10" t="str">
        <f t="shared" si="37"/>
        <v/>
      </c>
      <c r="I349" s="10" t="str">
        <f t="shared" si="38"/>
        <v/>
      </c>
      <c r="J349" s="10" t="str">
        <f t="shared" si="40"/>
        <v/>
      </c>
      <c r="K349" s="10" t="str">
        <f t="shared" si="41"/>
        <v/>
      </c>
      <c r="L349" s="10" t="str">
        <f t="shared" si="42"/>
        <v/>
      </c>
      <c r="M349" s="13"/>
      <c r="N349" s="13"/>
    </row>
    <row r="350" spans="5:14" x14ac:dyDescent="0.3">
      <c r="E350" s="15" t="str">
        <f t="shared" si="43"/>
        <v/>
      </c>
      <c r="F350" s="15" t="s">
        <v>27</v>
      </c>
      <c r="G350" s="15" t="str">
        <f t="shared" si="39"/>
        <v/>
      </c>
      <c r="H350" s="10" t="str">
        <f t="shared" si="37"/>
        <v/>
      </c>
      <c r="I350" s="10" t="str">
        <f t="shared" si="38"/>
        <v/>
      </c>
      <c r="J350" s="10" t="str">
        <f t="shared" si="40"/>
        <v/>
      </c>
      <c r="K350" s="10" t="str">
        <f t="shared" si="41"/>
        <v/>
      </c>
      <c r="L350" s="10" t="str">
        <f t="shared" si="42"/>
        <v/>
      </c>
      <c r="M350" s="13"/>
      <c r="N350" s="13"/>
    </row>
    <row r="351" spans="5:14" x14ac:dyDescent="0.3">
      <c r="E351" s="15" t="str">
        <f t="shared" si="43"/>
        <v/>
      </c>
      <c r="F351" s="15" t="s">
        <v>28</v>
      </c>
      <c r="G351" s="15" t="str">
        <f t="shared" si="39"/>
        <v/>
      </c>
      <c r="H351" s="10" t="str">
        <f t="shared" si="37"/>
        <v/>
      </c>
      <c r="I351" s="10" t="str">
        <f t="shared" si="38"/>
        <v/>
      </c>
      <c r="J351" s="10" t="str">
        <f t="shared" si="40"/>
        <v/>
      </c>
      <c r="K351" s="10" t="str">
        <f t="shared" si="41"/>
        <v/>
      </c>
      <c r="L351" s="10" t="str">
        <f t="shared" si="42"/>
        <v/>
      </c>
      <c r="M351" s="13"/>
      <c r="N351" s="13"/>
    </row>
    <row r="352" spans="5:14" x14ac:dyDescent="0.3">
      <c r="E352" s="15" t="str">
        <f t="shared" si="43"/>
        <v/>
      </c>
      <c r="F352" s="15" t="s">
        <v>29</v>
      </c>
      <c r="G352" s="15" t="str">
        <f t="shared" si="39"/>
        <v/>
      </c>
      <c r="H352" s="10" t="str">
        <f t="shared" si="37"/>
        <v/>
      </c>
      <c r="I352" s="10" t="str">
        <f t="shared" si="38"/>
        <v/>
      </c>
      <c r="J352" s="10" t="str">
        <f t="shared" si="40"/>
        <v/>
      </c>
      <c r="K352" s="10" t="str">
        <f t="shared" si="41"/>
        <v/>
      </c>
      <c r="L352" s="10" t="str">
        <f t="shared" si="42"/>
        <v/>
      </c>
      <c r="M352" s="13"/>
      <c r="N352" s="13"/>
    </row>
    <row r="353" spans="5:14" x14ac:dyDescent="0.3">
      <c r="E353" s="15" t="str">
        <f t="shared" si="43"/>
        <v/>
      </c>
      <c r="F353" s="15" t="s">
        <v>30</v>
      </c>
      <c r="G353" s="15" t="str">
        <f t="shared" si="39"/>
        <v/>
      </c>
      <c r="H353" s="10" t="str">
        <f t="shared" si="37"/>
        <v/>
      </c>
      <c r="I353" s="10" t="str">
        <f t="shared" si="38"/>
        <v/>
      </c>
      <c r="J353" s="10" t="str">
        <f t="shared" si="40"/>
        <v/>
      </c>
      <c r="K353" s="10" t="str">
        <f t="shared" si="41"/>
        <v/>
      </c>
      <c r="L353" s="10" t="str">
        <f t="shared" si="42"/>
        <v/>
      </c>
      <c r="M353" s="13"/>
      <c r="N353" s="13"/>
    </row>
    <row r="354" spans="5:14" x14ac:dyDescent="0.3">
      <c r="E354" s="15" t="str">
        <f t="shared" si="43"/>
        <v/>
      </c>
      <c r="F354" s="15" t="s">
        <v>31</v>
      </c>
      <c r="G354" s="15" t="str">
        <f t="shared" si="39"/>
        <v/>
      </c>
      <c r="H354" s="10" t="str">
        <f t="shared" si="37"/>
        <v/>
      </c>
      <c r="I354" s="10" t="str">
        <f t="shared" si="38"/>
        <v/>
      </c>
      <c r="J354" s="10" t="str">
        <f t="shared" si="40"/>
        <v/>
      </c>
      <c r="K354" s="10" t="str">
        <f t="shared" si="41"/>
        <v/>
      </c>
      <c r="L354" s="10" t="str">
        <f t="shared" si="42"/>
        <v/>
      </c>
      <c r="M354" s="13"/>
      <c r="N354" s="13"/>
    </row>
    <row r="355" spans="5:14" x14ac:dyDescent="0.3">
      <c r="E355" s="15" t="str">
        <f t="shared" si="43"/>
        <v/>
      </c>
      <c r="F355" s="15" t="s">
        <v>32</v>
      </c>
      <c r="G355" s="15" t="str">
        <f t="shared" si="39"/>
        <v/>
      </c>
      <c r="H355" s="10" t="str">
        <f t="shared" si="37"/>
        <v/>
      </c>
      <c r="I355" s="10" t="str">
        <f t="shared" si="38"/>
        <v/>
      </c>
      <c r="J355" s="10" t="str">
        <f t="shared" si="40"/>
        <v/>
      </c>
      <c r="K355" s="10" t="str">
        <f t="shared" si="41"/>
        <v/>
      </c>
      <c r="L355" s="10" t="str">
        <f t="shared" si="42"/>
        <v/>
      </c>
      <c r="M355" s="13"/>
      <c r="N355" s="13"/>
    </row>
    <row r="356" spans="5:14" x14ac:dyDescent="0.3">
      <c r="E356" s="15" t="str">
        <f t="shared" si="43"/>
        <v/>
      </c>
      <c r="F356" s="15" t="s">
        <v>33</v>
      </c>
      <c r="G356" s="15" t="str">
        <f t="shared" si="39"/>
        <v/>
      </c>
      <c r="H356" s="10" t="str">
        <f t="shared" si="37"/>
        <v/>
      </c>
      <c r="I356" s="10" t="str">
        <f t="shared" si="38"/>
        <v/>
      </c>
      <c r="J356" s="10" t="str">
        <f t="shared" si="40"/>
        <v/>
      </c>
      <c r="K356" s="10" t="str">
        <f t="shared" si="41"/>
        <v/>
      </c>
      <c r="L356" s="10" t="str">
        <f t="shared" si="42"/>
        <v/>
      </c>
      <c r="M356" s="13"/>
      <c r="N356" s="13"/>
    </row>
    <row r="357" spans="5:14" x14ac:dyDescent="0.3">
      <c r="E357" s="15" t="str">
        <f t="shared" si="43"/>
        <v/>
      </c>
      <c r="F357" s="15" t="s">
        <v>34</v>
      </c>
      <c r="G357" s="15" t="str">
        <f t="shared" si="39"/>
        <v/>
      </c>
      <c r="H357" s="10" t="str">
        <f t="shared" si="37"/>
        <v/>
      </c>
      <c r="I357" s="10" t="str">
        <f t="shared" si="38"/>
        <v/>
      </c>
      <c r="J357" s="10" t="str">
        <f t="shared" si="40"/>
        <v/>
      </c>
      <c r="K357" s="10" t="str">
        <f t="shared" si="41"/>
        <v/>
      </c>
      <c r="L357" s="10" t="str">
        <f t="shared" si="42"/>
        <v/>
      </c>
      <c r="M357" s="13"/>
      <c r="N357" s="13"/>
    </row>
    <row r="358" spans="5:14" x14ac:dyDescent="0.3">
      <c r="E358" s="15" t="str">
        <f t="shared" si="43"/>
        <v/>
      </c>
      <c r="F358" s="15" t="s">
        <v>35</v>
      </c>
      <c r="G358" s="15" t="str">
        <f t="shared" si="39"/>
        <v/>
      </c>
      <c r="H358" s="10" t="str">
        <f t="shared" si="37"/>
        <v/>
      </c>
      <c r="I358" s="10" t="str">
        <f t="shared" si="38"/>
        <v/>
      </c>
      <c r="J358" s="10" t="str">
        <f t="shared" si="40"/>
        <v/>
      </c>
      <c r="K358" s="10" t="str">
        <f t="shared" si="41"/>
        <v/>
      </c>
      <c r="L358" s="10" t="str">
        <f t="shared" si="42"/>
        <v/>
      </c>
      <c r="M358" s="13"/>
      <c r="N358" s="13"/>
    </row>
    <row r="359" spans="5:14" x14ac:dyDescent="0.3">
      <c r="E359" s="15" t="str">
        <f t="shared" si="43"/>
        <v/>
      </c>
      <c r="F359" s="15" t="s">
        <v>36</v>
      </c>
      <c r="G359" s="15" t="str">
        <f t="shared" si="39"/>
        <v/>
      </c>
      <c r="H359" s="10" t="str">
        <f t="shared" si="37"/>
        <v/>
      </c>
      <c r="I359" s="10" t="str">
        <f t="shared" si="38"/>
        <v/>
      </c>
      <c r="J359" s="10" t="str">
        <f t="shared" si="40"/>
        <v/>
      </c>
      <c r="K359" s="10" t="str">
        <f t="shared" si="41"/>
        <v/>
      </c>
      <c r="L359" s="10" t="str">
        <f t="shared" si="42"/>
        <v/>
      </c>
      <c r="M359" s="13"/>
      <c r="N359" s="13"/>
    </row>
    <row r="360" spans="5:14" x14ac:dyDescent="0.3">
      <c r="E360" s="15" t="str">
        <f t="shared" si="43"/>
        <v/>
      </c>
      <c r="F360" s="15" t="s">
        <v>37</v>
      </c>
      <c r="G360" s="15" t="str">
        <f t="shared" si="39"/>
        <v/>
      </c>
      <c r="H360" s="10" t="str">
        <f t="shared" si="37"/>
        <v/>
      </c>
      <c r="I360" s="10" t="str">
        <f t="shared" si="38"/>
        <v/>
      </c>
      <c r="J360" s="10" t="str">
        <f t="shared" si="40"/>
        <v/>
      </c>
      <c r="K360" s="10" t="str">
        <f t="shared" si="41"/>
        <v/>
      </c>
      <c r="L360" s="10" t="str">
        <f t="shared" si="42"/>
        <v/>
      </c>
      <c r="M360" s="13"/>
      <c r="N360" s="13"/>
    </row>
    <row r="361" spans="5:14" x14ac:dyDescent="0.3">
      <c r="E361" s="15" t="str">
        <f t="shared" si="43"/>
        <v/>
      </c>
      <c r="F361" s="15" t="s">
        <v>38</v>
      </c>
      <c r="G361" s="15" t="str">
        <f t="shared" si="39"/>
        <v/>
      </c>
      <c r="H361" s="10" t="str">
        <f t="shared" si="37"/>
        <v/>
      </c>
      <c r="I361" s="10" t="str">
        <f t="shared" si="38"/>
        <v/>
      </c>
      <c r="J361" s="10" t="str">
        <f t="shared" si="40"/>
        <v/>
      </c>
      <c r="K361" s="10" t="str">
        <f t="shared" si="41"/>
        <v/>
      </c>
      <c r="L361" s="10" t="str">
        <f t="shared" si="42"/>
        <v/>
      </c>
      <c r="M361" s="13"/>
      <c r="N361" s="13"/>
    </row>
    <row r="362" spans="5:14" x14ac:dyDescent="0.3">
      <c r="E362" s="15" t="str">
        <f t="shared" si="43"/>
        <v/>
      </c>
      <c r="F362" s="15" t="s">
        <v>27</v>
      </c>
      <c r="G362" s="15" t="str">
        <f t="shared" si="39"/>
        <v/>
      </c>
      <c r="H362" s="10" t="str">
        <f t="shared" si="37"/>
        <v/>
      </c>
      <c r="I362" s="10" t="str">
        <f t="shared" si="38"/>
        <v/>
      </c>
      <c r="J362" s="10" t="str">
        <f t="shared" si="40"/>
        <v/>
      </c>
      <c r="K362" s="10" t="str">
        <f t="shared" si="41"/>
        <v/>
      </c>
      <c r="L362" s="10" t="str">
        <f t="shared" si="42"/>
        <v/>
      </c>
      <c r="M362" s="13"/>
      <c r="N362" s="13"/>
    </row>
    <row r="363" spans="5:14" x14ac:dyDescent="0.3">
      <c r="E363" s="15" t="str">
        <f t="shared" si="43"/>
        <v/>
      </c>
      <c r="F363" s="15" t="s">
        <v>28</v>
      </c>
      <c r="G363" s="15" t="str">
        <f t="shared" si="39"/>
        <v/>
      </c>
      <c r="H363" s="10" t="str">
        <f t="shared" si="37"/>
        <v/>
      </c>
      <c r="I363" s="10" t="str">
        <f t="shared" si="38"/>
        <v/>
      </c>
      <c r="J363" s="10" t="str">
        <f t="shared" si="40"/>
        <v/>
      </c>
      <c r="K363" s="10" t="str">
        <f t="shared" si="41"/>
        <v/>
      </c>
      <c r="L363" s="10" t="str">
        <f t="shared" si="42"/>
        <v/>
      </c>
      <c r="M363" s="13"/>
      <c r="N363" s="13"/>
    </row>
    <row r="364" spans="5:14" x14ac:dyDescent="0.3">
      <c r="E364" s="15" t="str">
        <f t="shared" si="43"/>
        <v/>
      </c>
      <c r="F364" s="15" t="s">
        <v>29</v>
      </c>
      <c r="G364" s="15" t="str">
        <f t="shared" si="39"/>
        <v/>
      </c>
      <c r="H364" s="10" t="str">
        <f t="shared" si="37"/>
        <v/>
      </c>
      <c r="I364" s="10" t="str">
        <f t="shared" si="38"/>
        <v/>
      </c>
      <c r="J364" s="10" t="str">
        <f t="shared" si="40"/>
        <v/>
      </c>
      <c r="K364" s="10" t="str">
        <f t="shared" si="41"/>
        <v/>
      </c>
      <c r="L364" s="10" t="str">
        <f t="shared" si="42"/>
        <v/>
      </c>
      <c r="M364" s="13"/>
      <c r="N364" s="13"/>
    </row>
    <row r="365" spans="5:14" x14ac:dyDescent="0.3">
      <c r="E365" s="15" t="str">
        <f t="shared" si="43"/>
        <v/>
      </c>
      <c r="F365" s="15" t="s">
        <v>30</v>
      </c>
      <c r="G365" s="15" t="str">
        <f t="shared" si="39"/>
        <v/>
      </c>
      <c r="H365" s="10" t="str">
        <f t="shared" si="37"/>
        <v/>
      </c>
      <c r="I365" s="10" t="str">
        <f t="shared" si="38"/>
        <v/>
      </c>
      <c r="J365" s="10" t="str">
        <f t="shared" si="40"/>
        <v/>
      </c>
      <c r="K365" s="10" t="str">
        <f t="shared" si="41"/>
        <v/>
      </c>
      <c r="L365" s="10" t="str">
        <f t="shared" si="42"/>
        <v/>
      </c>
      <c r="M365" s="13"/>
      <c r="N365" s="13"/>
    </row>
    <row r="366" spans="5:14" x14ac:dyDescent="0.3">
      <c r="E366" s="15" t="str">
        <f t="shared" si="43"/>
        <v/>
      </c>
      <c r="F366" s="15" t="s">
        <v>31</v>
      </c>
      <c r="G366" s="15" t="str">
        <f t="shared" si="39"/>
        <v/>
      </c>
      <c r="H366" s="10" t="str">
        <f t="shared" si="37"/>
        <v/>
      </c>
      <c r="I366" s="10" t="str">
        <f t="shared" si="38"/>
        <v/>
      </c>
      <c r="J366" s="10" t="str">
        <f t="shared" si="40"/>
        <v/>
      </c>
      <c r="K366" s="10" t="str">
        <f t="shared" si="41"/>
        <v/>
      </c>
      <c r="L366" s="10" t="str">
        <f t="shared" si="42"/>
        <v/>
      </c>
      <c r="M366" s="13"/>
      <c r="N366" s="13"/>
    </row>
    <row r="367" spans="5:14" x14ac:dyDescent="0.3">
      <c r="E367" s="15" t="str">
        <f t="shared" si="43"/>
        <v/>
      </c>
      <c r="F367" s="15" t="s">
        <v>32</v>
      </c>
      <c r="G367" s="15" t="str">
        <f t="shared" si="39"/>
        <v/>
      </c>
      <c r="H367" s="10" t="str">
        <f t="shared" ref="H367:H430" si="44">IF(G367&lt;=$B$18,PMT($B$9,$B$18-G366,-K366)+M367,"")</f>
        <v/>
      </c>
      <c r="I367" s="10" t="str">
        <f t="shared" ref="I367:I430" si="45">IF(G367&lt;=$B$18,K366*$B$9,"")</f>
        <v/>
      </c>
      <c r="J367" s="10" t="str">
        <f t="shared" si="40"/>
        <v/>
      </c>
      <c r="K367" s="10" t="str">
        <f t="shared" si="41"/>
        <v/>
      </c>
      <c r="L367" s="10" t="str">
        <f t="shared" si="42"/>
        <v/>
      </c>
      <c r="M367" s="13"/>
      <c r="N367" s="13"/>
    </row>
    <row r="368" spans="5:14" x14ac:dyDescent="0.3">
      <c r="E368" s="15" t="str">
        <f t="shared" si="43"/>
        <v/>
      </c>
      <c r="F368" s="15" t="s">
        <v>33</v>
      </c>
      <c r="G368" s="15" t="str">
        <f t="shared" si="39"/>
        <v/>
      </c>
      <c r="H368" s="10" t="str">
        <f t="shared" si="44"/>
        <v/>
      </c>
      <c r="I368" s="10" t="str">
        <f t="shared" si="45"/>
        <v/>
      </c>
      <c r="J368" s="10" t="str">
        <f t="shared" si="40"/>
        <v/>
      </c>
      <c r="K368" s="10" t="str">
        <f t="shared" si="41"/>
        <v/>
      </c>
      <c r="L368" s="10" t="str">
        <f t="shared" si="42"/>
        <v/>
      </c>
      <c r="M368" s="13"/>
      <c r="N368" s="13"/>
    </row>
    <row r="369" spans="5:14" x14ac:dyDescent="0.3">
      <c r="E369" s="15" t="str">
        <f t="shared" si="43"/>
        <v/>
      </c>
      <c r="F369" s="15" t="s">
        <v>34</v>
      </c>
      <c r="G369" s="15" t="str">
        <f t="shared" si="39"/>
        <v/>
      </c>
      <c r="H369" s="10" t="str">
        <f t="shared" si="44"/>
        <v/>
      </c>
      <c r="I369" s="10" t="str">
        <f t="shared" si="45"/>
        <v/>
      </c>
      <c r="J369" s="10" t="str">
        <f t="shared" si="40"/>
        <v/>
      </c>
      <c r="K369" s="10" t="str">
        <f t="shared" si="41"/>
        <v/>
      </c>
      <c r="L369" s="10" t="str">
        <f t="shared" si="42"/>
        <v/>
      </c>
      <c r="M369" s="13"/>
      <c r="N369" s="13"/>
    </row>
    <row r="370" spans="5:14" x14ac:dyDescent="0.3">
      <c r="E370" s="15" t="str">
        <f t="shared" si="43"/>
        <v/>
      </c>
      <c r="F370" s="15" t="s">
        <v>35</v>
      </c>
      <c r="G370" s="15" t="str">
        <f t="shared" si="39"/>
        <v/>
      </c>
      <c r="H370" s="10" t="str">
        <f t="shared" si="44"/>
        <v/>
      </c>
      <c r="I370" s="10" t="str">
        <f t="shared" si="45"/>
        <v/>
      </c>
      <c r="J370" s="10" t="str">
        <f t="shared" si="40"/>
        <v/>
      </c>
      <c r="K370" s="10" t="str">
        <f t="shared" si="41"/>
        <v/>
      </c>
      <c r="L370" s="10" t="str">
        <f t="shared" si="42"/>
        <v/>
      </c>
      <c r="M370" s="13"/>
      <c r="N370" s="13"/>
    </row>
    <row r="371" spans="5:14" x14ac:dyDescent="0.3">
      <c r="E371" s="15" t="str">
        <f t="shared" si="43"/>
        <v/>
      </c>
      <c r="F371" s="15" t="s">
        <v>36</v>
      </c>
      <c r="G371" s="15" t="str">
        <f t="shared" si="39"/>
        <v/>
      </c>
      <c r="H371" s="10" t="str">
        <f t="shared" si="44"/>
        <v/>
      </c>
      <c r="I371" s="10" t="str">
        <f t="shared" si="45"/>
        <v/>
      </c>
      <c r="J371" s="10" t="str">
        <f t="shared" si="40"/>
        <v/>
      </c>
      <c r="K371" s="10" t="str">
        <f t="shared" si="41"/>
        <v/>
      </c>
      <c r="L371" s="10" t="str">
        <f t="shared" si="42"/>
        <v/>
      </c>
      <c r="M371" s="13"/>
      <c r="N371" s="13"/>
    </row>
    <row r="372" spans="5:14" x14ac:dyDescent="0.3">
      <c r="E372" s="15" t="str">
        <f t="shared" si="43"/>
        <v/>
      </c>
      <c r="F372" s="15" t="s">
        <v>37</v>
      </c>
      <c r="G372" s="15" t="str">
        <f t="shared" si="39"/>
        <v/>
      </c>
      <c r="H372" s="10" t="str">
        <f t="shared" si="44"/>
        <v/>
      </c>
      <c r="I372" s="10" t="str">
        <f t="shared" si="45"/>
        <v/>
      </c>
      <c r="J372" s="10" t="str">
        <f t="shared" si="40"/>
        <v/>
      </c>
      <c r="K372" s="10" t="str">
        <f t="shared" si="41"/>
        <v/>
      </c>
      <c r="L372" s="10" t="str">
        <f t="shared" si="42"/>
        <v/>
      </c>
      <c r="M372" s="13"/>
      <c r="N372" s="13"/>
    </row>
    <row r="373" spans="5:14" x14ac:dyDescent="0.3">
      <c r="E373" s="15" t="str">
        <f t="shared" si="43"/>
        <v/>
      </c>
      <c r="F373" s="15" t="s">
        <v>38</v>
      </c>
      <c r="G373" s="15" t="str">
        <f t="shared" si="39"/>
        <v/>
      </c>
      <c r="H373" s="10" t="str">
        <f t="shared" si="44"/>
        <v/>
      </c>
      <c r="I373" s="10" t="str">
        <f t="shared" si="45"/>
        <v/>
      </c>
      <c r="J373" s="10" t="str">
        <f t="shared" si="40"/>
        <v/>
      </c>
      <c r="K373" s="10" t="str">
        <f t="shared" si="41"/>
        <v/>
      </c>
      <c r="L373" s="10" t="str">
        <f t="shared" si="42"/>
        <v/>
      </c>
      <c r="M373" s="13"/>
      <c r="N373" s="13"/>
    </row>
    <row r="374" spans="5:14" x14ac:dyDescent="0.3">
      <c r="E374" s="15" t="str">
        <f t="shared" si="43"/>
        <v/>
      </c>
      <c r="F374" s="15" t="s">
        <v>27</v>
      </c>
      <c r="G374" s="15" t="str">
        <f t="shared" si="39"/>
        <v/>
      </c>
      <c r="H374" s="10" t="str">
        <f t="shared" si="44"/>
        <v/>
      </c>
      <c r="I374" s="10" t="str">
        <f t="shared" si="45"/>
        <v/>
      </c>
      <c r="J374" s="10" t="str">
        <f t="shared" si="40"/>
        <v/>
      </c>
      <c r="K374" s="10" t="str">
        <f t="shared" si="41"/>
        <v/>
      </c>
      <c r="L374" s="10" t="str">
        <f t="shared" si="42"/>
        <v/>
      </c>
      <c r="M374" s="13"/>
      <c r="N374" s="13"/>
    </row>
    <row r="375" spans="5:14" x14ac:dyDescent="0.3">
      <c r="E375" s="15" t="str">
        <f t="shared" si="43"/>
        <v/>
      </c>
      <c r="F375" s="15" t="s">
        <v>28</v>
      </c>
      <c r="G375" s="15" t="str">
        <f t="shared" si="39"/>
        <v/>
      </c>
      <c r="H375" s="10" t="str">
        <f t="shared" si="44"/>
        <v/>
      </c>
      <c r="I375" s="10" t="str">
        <f t="shared" si="45"/>
        <v/>
      </c>
      <c r="J375" s="10" t="str">
        <f t="shared" si="40"/>
        <v/>
      </c>
      <c r="K375" s="10" t="str">
        <f t="shared" si="41"/>
        <v/>
      </c>
      <c r="L375" s="10" t="str">
        <f t="shared" si="42"/>
        <v/>
      </c>
      <c r="M375" s="13"/>
      <c r="N375" s="13"/>
    </row>
    <row r="376" spans="5:14" x14ac:dyDescent="0.3">
      <c r="E376" s="15" t="str">
        <f t="shared" si="43"/>
        <v/>
      </c>
      <c r="F376" s="15" t="s">
        <v>29</v>
      </c>
      <c r="G376" s="15" t="str">
        <f t="shared" si="39"/>
        <v/>
      </c>
      <c r="H376" s="10" t="str">
        <f t="shared" si="44"/>
        <v/>
      </c>
      <c r="I376" s="10" t="str">
        <f t="shared" si="45"/>
        <v/>
      </c>
      <c r="J376" s="10" t="str">
        <f t="shared" si="40"/>
        <v/>
      </c>
      <c r="K376" s="10" t="str">
        <f t="shared" si="41"/>
        <v/>
      </c>
      <c r="L376" s="10" t="str">
        <f t="shared" si="42"/>
        <v/>
      </c>
      <c r="M376" s="13"/>
      <c r="N376" s="13"/>
    </row>
    <row r="377" spans="5:14" x14ac:dyDescent="0.3">
      <c r="E377" s="15" t="str">
        <f t="shared" si="43"/>
        <v/>
      </c>
      <c r="F377" s="15" t="s">
        <v>30</v>
      </c>
      <c r="G377" s="15" t="str">
        <f t="shared" si="39"/>
        <v/>
      </c>
      <c r="H377" s="10" t="str">
        <f t="shared" si="44"/>
        <v/>
      </c>
      <c r="I377" s="10" t="str">
        <f t="shared" si="45"/>
        <v/>
      </c>
      <c r="J377" s="10" t="str">
        <f t="shared" si="40"/>
        <v/>
      </c>
      <c r="K377" s="10" t="str">
        <f t="shared" si="41"/>
        <v/>
      </c>
      <c r="L377" s="10" t="str">
        <f t="shared" si="42"/>
        <v/>
      </c>
      <c r="M377" s="13"/>
      <c r="N377" s="13"/>
    </row>
    <row r="378" spans="5:14" x14ac:dyDescent="0.3">
      <c r="E378" s="15" t="str">
        <f t="shared" si="43"/>
        <v/>
      </c>
      <c r="F378" s="15" t="s">
        <v>31</v>
      </c>
      <c r="G378" s="15" t="str">
        <f t="shared" si="39"/>
        <v/>
      </c>
      <c r="H378" s="10" t="str">
        <f t="shared" si="44"/>
        <v/>
      </c>
      <c r="I378" s="10" t="str">
        <f t="shared" si="45"/>
        <v/>
      </c>
      <c r="J378" s="10" t="str">
        <f t="shared" si="40"/>
        <v/>
      </c>
      <c r="K378" s="10" t="str">
        <f t="shared" si="41"/>
        <v/>
      </c>
      <c r="L378" s="10" t="str">
        <f t="shared" si="42"/>
        <v/>
      </c>
      <c r="M378" s="13"/>
      <c r="N378" s="13"/>
    </row>
    <row r="379" spans="5:14" x14ac:dyDescent="0.3">
      <c r="E379" s="15" t="str">
        <f t="shared" si="43"/>
        <v/>
      </c>
      <c r="F379" s="15" t="s">
        <v>32</v>
      </c>
      <c r="G379" s="15" t="str">
        <f t="shared" si="39"/>
        <v/>
      </c>
      <c r="H379" s="10" t="str">
        <f t="shared" si="44"/>
        <v/>
      </c>
      <c r="I379" s="10" t="str">
        <f t="shared" si="45"/>
        <v/>
      </c>
      <c r="J379" s="10" t="str">
        <f t="shared" si="40"/>
        <v/>
      </c>
      <c r="K379" s="10" t="str">
        <f t="shared" si="41"/>
        <v/>
      </c>
      <c r="L379" s="10" t="str">
        <f t="shared" si="42"/>
        <v/>
      </c>
      <c r="M379" s="13"/>
      <c r="N379" s="13"/>
    </row>
    <row r="380" spans="5:14" x14ac:dyDescent="0.3">
      <c r="E380" s="15" t="str">
        <f t="shared" si="43"/>
        <v/>
      </c>
      <c r="F380" s="15" t="s">
        <v>33</v>
      </c>
      <c r="G380" s="15" t="str">
        <f t="shared" si="39"/>
        <v/>
      </c>
      <c r="H380" s="10" t="str">
        <f t="shared" si="44"/>
        <v/>
      </c>
      <c r="I380" s="10" t="str">
        <f t="shared" si="45"/>
        <v/>
      </c>
      <c r="J380" s="10" t="str">
        <f t="shared" si="40"/>
        <v/>
      </c>
      <c r="K380" s="10" t="str">
        <f t="shared" si="41"/>
        <v/>
      </c>
      <c r="L380" s="10" t="str">
        <f t="shared" si="42"/>
        <v/>
      </c>
      <c r="M380" s="13"/>
      <c r="N380" s="13"/>
    </row>
    <row r="381" spans="5:14" x14ac:dyDescent="0.3">
      <c r="E381" s="15" t="str">
        <f t="shared" si="43"/>
        <v/>
      </c>
      <c r="F381" s="15" t="s">
        <v>34</v>
      </c>
      <c r="G381" s="15" t="str">
        <f t="shared" si="39"/>
        <v/>
      </c>
      <c r="H381" s="10" t="str">
        <f t="shared" si="44"/>
        <v/>
      </c>
      <c r="I381" s="10" t="str">
        <f t="shared" si="45"/>
        <v/>
      </c>
      <c r="J381" s="10" t="str">
        <f t="shared" si="40"/>
        <v/>
      </c>
      <c r="K381" s="10" t="str">
        <f t="shared" si="41"/>
        <v/>
      </c>
      <c r="L381" s="10" t="str">
        <f t="shared" si="42"/>
        <v/>
      </c>
      <c r="M381" s="13"/>
      <c r="N381" s="13"/>
    </row>
    <row r="382" spans="5:14" x14ac:dyDescent="0.3">
      <c r="E382" s="15" t="str">
        <f t="shared" si="43"/>
        <v/>
      </c>
      <c r="F382" s="15" t="s">
        <v>35</v>
      </c>
      <c r="G382" s="15" t="str">
        <f t="shared" si="39"/>
        <v/>
      </c>
      <c r="H382" s="10" t="str">
        <f t="shared" si="44"/>
        <v/>
      </c>
      <c r="I382" s="10" t="str">
        <f t="shared" si="45"/>
        <v/>
      </c>
      <c r="J382" s="10" t="str">
        <f t="shared" si="40"/>
        <v/>
      </c>
      <c r="K382" s="10" t="str">
        <f t="shared" si="41"/>
        <v/>
      </c>
      <c r="L382" s="10" t="str">
        <f t="shared" si="42"/>
        <v/>
      </c>
      <c r="M382" s="13"/>
      <c r="N382" s="13"/>
    </row>
    <row r="383" spans="5:14" x14ac:dyDescent="0.3">
      <c r="E383" s="15" t="str">
        <f t="shared" si="43"/>
        <v/>
      </c>
      <c r="F383" s="15" t="s">
        <v>36</v>
      </c>
      <c r="G383" s="15" t="str">
        <f t="shared" si="39"/>
        <v/>
      </c>
      <c r="H383" s="10" t="str">
        <f t="shared" si="44"/>
        <v/>
      </c>
      <c r="I383" s="10" t="str">
        <f t="shared" si="45"/>
        <v/>
      </c>
      <c r="J383" s="10" t="str">
        <f t="shared" si="40"/>
        <v/>
      </c>
      <c r="K383" s="10" t="str">
        <f t="shared" si="41"/>
        <v/>
      </c>
      <c r="L383" s="10" t="str">
        <f t="shared" si="42"/>
        <v/>
      </c>
      <c r="M383" s="13"/>
      <c r="N383" s="13"/>
    </row>
    <row r="384" spans="5:14" x14ac:dyDescent="0.3">
      <c r="E384" s="15" t="str">
        <f t="shared" si="43"/>
        <v/>
      </c>
      <c r="F384" s="15" t="s">
        <v>37</v>
      </c>
      <c r="G384" s="15" t="str">
        <f t="shared" si="39"/>
        <v/>
      </c>
      <c r="H384" s="10" t="str">
        <f t="shared" si="44"/>
        <v/>
      </c>
      <c r="I384" s="10" t="str">
        <f t="shared" si="45"/>
        <v/>
      </c>
      <c r="J384" s="10" t="str">
        <f t="shared" si="40"/>
        <v/>
      </c>
      <c r="K384" s="10" t="str">
        <f t="shared" si="41"/>
        <v/>
      </c>
      <c r="L384" s="10" t="str">
        <f t="shared" si="42"/>
        <v/>
      </c>
      <c r="M384" s="13"/>
      <c r="N384" s="13"/>
    </row>
    <row r="385" spans="5:14" x14ac:dyDescent="0.3">
      <c r="E385" s="15" t="str">
        <f t="shared" si="43"/>
        <v/>
      </c>
      <c r="F385" s="15" t="s">
        <v>38</v>
      </c>
      <c r="G385" s="15" t="str">
        <f t="shared" si="39"/>
        <v/>
      </c>
      <c r="H385" s="10" t="str">
        <f t="shared" si="44"/>
        <v/>
      </c>
      <c r="I385" s="10" t="str">
        <f t="shared" si="45"/>
        <v/>
      </c>
      <c r="J385" s="10" t="str">
        <f t="shared" si="40"/>
        <v/>
      </c>
      <c r="K385" s="10" t="str">
        <f t="shared" si="41"/>
        <v/>
      </c>
      <c r="L385" s="10" t="str">
        <f t="shared" si="42"/>
        <v/>
      </c>
      <c r="M385" s="13"/>
      <c r="N385" s="13"/>
    </row>
    <row r="386" spans="5:14" x14ac:dyDescent="0.3">
      <c r="E386" s="15" t="str">
        <f t="shared" si="43"/>
        <v/>
      </c>
      <c r="F386" s="15" t="s">
        <v>27</v>
      </c>
      <c r="G386" s="15" t="str">
        <f t="shared" si="39"/>
        <v/>
      </c>
      <c r="H386" s="10" t="str">
        <f t="shared" si="44"/>
        <v/>
      </c>
      <c r="I386" s="10" t="str">
        <f t="shared" si="45"/>
        <v/>
      </c>
      <c r="J386" s="10" t="str">
        <f t="shared" si="40"/>
        <v/>
      </c>
      <c r="K386" s="10" t="str">
        <f t="shared" si="41"/>
        <v/>
      </c>
      <c r="L386" s="10" t="str">
        <f t="shared" si="42"/>
        <v/>
      </c>
      <c r="M386" s="13"/>
      <c r="N386" s="13"/>
    </row>
    <row r="387" spans="5:14" x14ac:dyDescent="0.3">
      <c r="E387" s="15" t="str">
        <f t="shared" si="43"/>
        <v/>
      </c>
      <c r="F387" s="15" t="s">
        <v>28</v>
      </c>
      <c r="G387" s="15" t="str">
        <f t="shared" ref="G387:G450" si="46">IF(G386&gt;=$B$18,"",G386+1)</f>
        <v/>
      </c>
      <c r="H387" s="10" t="str">
        <f t="shared" si="44"/>
        <v/>
      </c>
      <c r="I387" s="10" t="str">
        <f t="shared" si="45"/>
        <v/>
      </c>
      <c r="J387" s="10" t="str">
        <f t="shared" ref="J387:J450" si="47">IF(G387&lt;=$B$18,H387-I387,"")</f>
        <v/>
      </c>
      <c r="K387" s="10" t="str">
        <f t="shared" ref="K387:K450" si="48">IF(G387&lt;=$B$18,K386-J387,"")</f>
        <v/>
      </c>
      <c r="L387" s="10" t="str">
        <f t="shared" ref="L387:L450" si="49">IF(G387&lt;=$B$18,L386+J387,"")</f>
        <v/>
      </c>
      <c r="M387" s="13"/>
      <c r="N387" s="13"/>
    </row>
    <row r="388" spans="5:14" x14ac:dyDescent="0.3">
      <c r="E388" s="15" t="str">
        <f t="shared" ref="E388:E451" si="50">IF(G387&gt;=$B$18,"",INT(G387/12)+1)</f>
        <v/>
      </c>
      <c r="F388" s="15" t="s">
        <v>29</v>
      </c>
      <c r="G388" s="15" t="str">
        <f t="shared" si="46"/>
        <v/>
      </c>
      <c r="H388" s="10" t="str">
        <f t="shared" si="44"/>
        <v/>
      </c>
      <c r="I388" s="10" t="str">
        <f t="shared" si="45"/>
        <v/>
      </c>
      <c r="J388" s="10" t="str">
        <f t="shared" si="47"/>
        <v/>
      </c>
      <c r="K388" s="10" t="str">
        <f t="shared" si="48"/>
        <v/>
      </c>
      <c r="L388" s="10" t="str">
        <f t="shared" si="49"/>
        <v/>
      </c>
      <c r="M388" s="13"/>
      <c r="N388" s="13"/>
    </row>
    <row r="389" spans="5:14" x14ac:dyDescent="0.3">
      <c r="E389" s="15" t="str">
        <f t="shared" si="50"/>
        <v/>
      </c>
      <c r="F389" s="15" t="s">
        <v>30</v>
      </c>
      <c r="G389" s="15" t="str">
        <f t="shared" si="46"/>
        <v/>
      </c>
      <c r="H389" s="10" t="str">
        <f t="shared" si="44"/>
        <v/>
      </c>
      <c r="I389" s="10" t="str">
        <f t="shared" si="45"/>
        <v/>
      </c>
      <c r="J389" s="10" t="str">
        <f t="shared" si="47"/>
        <v/>
      </c>
      <c r="K389" s="10" t="str">
        <f t="shared" si="48"/>
        <v/>
      </c>
      <c r="L389" s="10" t="str">
        <f t="shared" si="49"/>
        <v/>
      </c>
      <c r="M389" s="13"/>
      <c r="N389" s="13"/>
    </row>
    <row r="390" spans="5:14" x14ac:dyDescent="0.3">
      <c r="E390" s="15" t="str">
        <f t="shared" si="50"/>
        <v/>
      </c>
      <c r="F390" s="15" t="s">
        <v>31</v>
      </c>
      <c r="G390" s="15" t="str">
        <f t="shared" si="46"/>
        <v/>
      </c>
      <c r="H390" s="10" t="str">
        <f t="shared" si="44"/>
        <v/>
      </c>
      <c r="I390" s="10" t="str">
        <f t="shared" si="45"/>
        <v/>
      </c>
      <c r="J390" s="10" t="str">
        <f t="shared" si="47"/>
        <v/>
      </c>
      <c r="K390" s="10" t="str">
        <f t="shared" si="48"/>
        <v/>
      </c>
      <c r="L390" s="10" t="str">
        <f t="shared" si="49"/>
        <v/>
      </c>
      <c r="M390" s="13"/>
      <c r="N390" s="13"/>
    </row>
    <row r="391" spans="5:14" x14ac:dyDescent="0.3">
      <c r="E391" s="15" t="str">
        <f t="shared" si="50"/>
        <v/>
      </c>
      <c r="F391" s="15" t="s">
        <v>32</v>
      </c>
      <c r="G391" s="15" t="str">
        <f t="shared" si="46"/>
        <v/>
      </c>
      <c r="H391" s="10" t="str">
        <f t="shared" si="44"/>
        <v/>
      </c>
      <c r="I391" s="10" t="str">
        <f t="shared" si="45"/>
        <v/>
      </c>
      <c r="J391" s="10" t="str">
        <f t="shared" si="47"/>
        <v/>
      </c>
      <c r="K391" s="10" t="str">
        <f t="shared" si="48"/>
        <v/>
      </c>
      <c r="L391" s="10" t="str">
        <f t="shared" si="49"/>
        <v/>
      </c>
      <c r="M391" s="13"/>
      <c r="N391" s="13"/>
    </row>
    <row r="392" spans="5:14" x14ac:dyDescent="0.3">
      <c r="E392" s="15" t="str">
        <f t="shared" si="50"/>
        <v/>
      </c>
      <c r="F392" s="15" t="s">
        <v>33</v>
      </c>
      <c r="G392" s="15" t="str">
        <f t="shared" si="46"/>
        <v/>
      </c>
      <c r="H392" s="10" t="str">
        <f t="shared" si="44"/>
        <v/>
      </c>
      <c r="I392" s="10" t="str">
        <f t="shared" si="45"/>
        <v/>
      </c>
      <c r="J392" s="10" t="str">
        <f t="shared" si="47"/>
        <v/>
      </c>
      <c r="K392" s="10" t="str">
        <f t="shared" si="48"/>
        <v/>
      </c>
      <c r="L392" s="10" t="str">
        <f t="shared" si="49"/>
        <v/>
      </c>
      <c r="M392" s="13"/>
      <c r="N392" s="13"/>
    </row>
    <row r="393" spans="5:14" x14ac:dyDescent="0.3">
      <c r="E393" s="15" t="str">
        <f t="shared" si="50"/>
        <v/>
      </c>
      <c r="F393" s="15" t="s">
        <v>34</v>
      </c>
      <c r="G393" s="15" t="str">
        <f t="shared" si="46"/>
        <v/>
      </c>
      <c r="H393" s="10" t="str">
        <f t="shared" si="44"/>
        <v/>
      </c>
      <c r="I393" s="10" t="str">
        <f t="shared" si="45"/>
        <v/>
      </c>
      <c r="J393" s="10" t="str">
        <f t="shared" si="47"/>
        <v/>
      </c>
      <c r="K393" s="10" t="str">
        <f t="shared" si="48"/>
        <v/>
      </c>
      <c r="L393" s="10" t="str">
        <f t="shared" si="49"/>
        <v/>
      </c>
      <c r="M393" s="13"/>
      <c r="N393" s="13"/>
    </row>
    <row r="394" spans="5:14" x14ac:dyDescent="0.3">
      <c r="E394" s="15" t="str">
        <f t="shared" si="50"/>
        <v/>
      </c>
      <c r="F394" s="15" t="s">
        <v>35</v>
      </c>
      <c r="G394" s="15" t="str">
        <f t="shared" si="46"/>
        <v/>
      </c>
      <c r="H394" s="10" t="str">
        <f t="shared" si="44"/>
        <v/>
      </c>
      <c r="I394" s="10" t="str">
        <f t="shared" si="45"/>
        <v/>
      </c>
      <c r="J394" s="10" t="str">
        <f t="shared" si="47"/>
        <v/>
      </c>
      <c r="K394" s="10" t="str">
        <f t="shared" si="48"/>
        <v/>
      </c>
      <c r="L394" s="10" t="str">
        <f t="shared" si="49"/>
        <v/>
      </c>
      <c r="M394" s="13"/>
      <c r="N394" s="13"/>
    </row>
    <row r="395" spans="5:14" x14ac:dyDescent="0.3">
      <c r="E395" s="15" t="str">
        <f t="shared" si="50"/>
        <v/>
      </c>
      <c r="F395" s="15" t="s">
        <v>36</v>
      </c>
      <c r="G395" s="15" t="str">
        <f t="shared" si="46"/>
        <v/>
      </c>
      <c r="H395" s="10" t="str">
        <f t="shared" si="44"/>
        <v/>
      </c>
      <c r="I395" s="10" t="str">
        <f t="shared" si="45"/>
        <v/>
      </c>
      <c r="J395" s="10" t="str">
        <f t="shared" si="47"/>
        <v/>
      </c>
      <c r="K395" s="10" t="str">
        <f t="shared" si="48"/>
        <v/>
      </c>
      <c r="L395" s="10" t="str">
        <f t="shared" si="49"/>
        <v/>
      </c>
      <c r="M395" s="13"/>
      <c r="N395" s="13"/>
    </row>
    <row r="396" spans="5:14" x14ac:dyDescent="0.3">
      <c r="E396" s="15" t="str">
        <f t="shared" si="50"/>
        <v/>
      </c>
      <c r="F396" s="15" t="s">
        <v>37</v>
      </c>
      <c r="G396" s="15" t="str">
        <f t="shared" si="46"/>
        <v/>
      </c>
      <c r="H396" s="10" t="str">
        <f t="shared" si="44"/>
        <v/>
      </c>
      <c r="I396" s="10" t="str">
        <f t="shared" si="45"/>
        <v/>
      </c>
      <c r="J396" s="10" t="str">
        <f t="shared" si="47"/>
        <v/>
      </c>
      <c r="K396" s="10" t="str">
        <f t="shared" si="48"/>
        <v/>
      </c>
      <c r="L396" s="10" t="str">
        <f t="shared" si="49"/>
        <v/>
      </c>
      <c r="M396" s="13"/>
      <c r="N396" s="13"/>
    </row>
    <row r="397" spans="5:14" x14ac:dyDescent="0.3">
      <c r="E397" s="15" t="str">
        <f t="shared" si="50"/>
        <v/>
      </c>
      <c r="F397" s="15" t="s">
        <v>38</v>
      </c>
      <c r="G397" s="15" t="str">
        <f t="shared" si="46"/>
        <v/>
      </c>
      <c r="H397" s="10" t="str">
        <f t="shared" si="44"/>
        <v/>
      </c>
      <c r="I397" s="10" t="str">
        <f t="shared" si="45"/>
        <v/>
      </c>
      <c r="J397" s="10" t="str">
        <f t="shared" si="47"/>
        <v/>
      </c>
      <c r="K397" s="10" t="str">
        <f t="shared" si="48"/>
        <v/>
      </c>
      <c r="L397" s="10" t="str">
        <f t="shared" si="49"/>
        <v/>
      </c>
      <c r="M397" s="13"/>
      <c r="N397" s="13"/>
    </row>
    <row r="398" spans="5:14" x14ac:dyDescent="0.3">
      <c r="E398" s="15" t="str">
        <f t="shared" si="50"/>
        <v/>
      </c>
      <c r="F398" s="15" t="s">
        <v>27</v>
      </c>
      <c r="G398" s="15" t="str">
        <f t="shared" si="46"/>
        <v/>
      </c>
      <c r="H398" s="10" t="str">
        <f t="shared" si="44"/>
        <v/>
      </c>
      <c r="I398" s="10" t="str">
        <f t="shared" si="45"/>
        <v/>
      </c>
      <c r="J398" s="10" t="str">
        <f t="shared" si="47"/>
        <v/>
      </c>
      <c r="K398" s="10" t="str">
        <f t="shared" si="48"/>
        <v/>
      </c>
      <c r="L398" s="10" t="str">
        <f t="shared" si="49"/>
        <v/>
      </c>
      <c r="M398" s="13"/>
      <c r="N398" s="13"/>
    </row>
    <row r="399" spans="5:14" x14ac:dyDescent="0.3">
      <c r="E399" s="15" t="str">
        <f t="shared" si="50"/>
        <v/>
      </c>
      <c r="F399" s="15" t="s">
        <v>28</v>
      </c>
      <c r="G399" s="15" t="str">
        <f t="shared" si="46"/>
        <v/>
      </c>
      <c r="H399" s="10" t="str">
        <f t="shared" si="44"/>
        <v/>
      </c>
      <c r="I399" s="10" t="str">
        <f t="shared" si="45"/>
        <v/>
      </c>
      <c r="J399" s="10" t="str">
        <f t="shared" si="47"/>
        <v/>
      </c>
      <c r="K399" s="10" t="str">
        <f t="shared" si="48"/>
        <v/>
      </c>
      <c r="L399" s="10" t="str">
        <f t="shared" si="49"/>
        <v/>
      </c>
      <c r="M399" s="13"/>
      <c r="N399" s="13"/>
    </row>
    <row r="400" spans="5:14" x14ac:dyDescent="0.3">
      <c r="E400" s="15" t="str">
        <f t="shared" si="50"/>
        <v/>
      </c>
      <c r="F400" s="15" t="s">
        <v>29</v>
      </c>
      <c r="G400" s="15" t="str">
        <f t="shared" si="46"/>
        <v/>
      </c>
      <c r="H400" s="10" t="str">
        <f t="shared" si="44"/>
        <v/>
      </c>
      <c r="I400" s="10" t="str">
        <f t="shared" si="45"/>
        <v/>
      </c>
      <c r="J400" s="10" t="str">
        <f t="shared" si="47"/>
        <v/>
      </c>
      <c r="K400" s="10" t="str">
        <f t="shared" si="48"/>
        <v/>
      </c>
      <c r="L400" s="10" t="str">
        <f t="shared" si="49"/>
        <v/>
      </c>
      <c r="M400" s="13"/>
      <c r="N400" s="13"/>
    </row>
    <row r="401" spans="5:14" x14ac:dyDescent="0.3">
      <c r="E401" s="15" t="str">
        <f t="shared" si="50"/>
        <v/>
      </c>
      <c r="F401" s="15" t="s">
        <v>30</v>
      </c>
      <c r="G401" s="15" t="str">
        <f t="shared" si="46"/>
        <v/>
      </c>
      <c r="H401" s="10" t="str">
        <f t="shared" si="44"/>
        <v/>
      </c>
      <c r="I401" s="10" t="str">
        <f t="shared" si="45"/>
        <v/>
      </c>
      <c r="J401" s="10" t="str">
        <f t="shared" si="47"/>
        <v/>
      </c>
      <c r="K401" s="10" t="str">
        <f t="shared" si="48"/>
        <v/>
      </c>
      <c r="L401" s="10" t="str">
        <f t="shared" si="49"/>
        <v/>
      </c>
      <c r="M401" s="13"/>
      <c r="N401" s="13"/>
    </row>
    <row r="402" spans="5:14" x14ac:dyDescent="0.3">
      <c r="E402" s="15" t="str">
        <f t="shared" si="50"/>
        <v/>
      </c>
      <c r="F402" s="15" t="s">
        <v>31</v>
      </c>
      <c r="G402" s="15" t="str">
        <f t="shared" si="46"/>
        <v/>
      </c>
      <c r="H402" s="10" t="str">
        <f t="shared" si="44"/>
        <v/>
      </c>
      <c r="I402" s="10" t="str">
        <f t="shared" si="45"/>
        <v/>
      </c>
      <c r="J402" s="10" t="str">
        <f t="shared" si="47"/>
        <v/>
      </c>
      <c r="K402" s="10" t="str">
        <f t="shared" si="48"/>
        <v/>
      </c>
      <c r="L402" s="10" t="str">
        <f t="shared" si="49"/>
        <v/>
      </c>
      <c r="M402" s="13"/>
      <c r="N402" s="13"/>
    </row>
    <row r="403" spans="5:14" x14ac:dyDescent="0.3">
      <c r="E403" s="15" t="str">
        <f t="shared" si="50"/>
        <v/>
      </c>
      <c r="F403" s="15" t="s">
        <v>32</v>
      </c>
      <c r="G403" s="15" t="str">
        <f t="shared" si="46"/>
        <v/>
      </c>
      <c r="H403" s="10" t="str">
        <f t="shared" si="44"/>
        <v/>
      </c>
      <c r="I403" s="10" t="str">
        <f t="shared" si="45"/>
        <v/>
      </c>
      <c r="J403" s="10" t="str">
        <f t="shared" si="47"/>
        <v/>
      </c>
      <c r="K403" s="10" t="str">
        <f t="shared" si="48"/>
        <v/>
      </c>
      <c r="L403" s="10" t="str">
        <f t="shared" si="49"/>
        <v/>
      </c>
      <c r="M403" s="13"/>
      <c r="N403" s="13"/>
    </row>
    <row r="404" spans="5:14" x14ac:dyDescent="0.3">
      <c r="E404" s="15" t="str">
        <f t="shared" si="50"/>
        <v/>
      </c>
      <c r="F404" s="15" t="s">
        <v>33</v>
      </c>
      <c r="G404" s="15" t="str">
        <f t="shared" si="46"/>
        <v/>
      </c>
      <c r="H404" s="10" t="str">
        <f t="shared" si="44"/>
        <v/>
      </c>
      <c r="I404" s="10" t="str">
        <f t="shared" si="45"/>
        <v/>
      </c>
      <c r="J404" s="10" t="str">
        <f t="shared" si="47"/>
        <v/>
      </c>
      <c r="K404" s="10" t="str">
        <f t="shared" si="48"/>
        <v/>
      </c>
      <c r="L404" s="10" t="str">
        <f t="shared" si="49"/>
        <v/>
      </c>
      <c r="M404" s="13"/>
      <c r="N404" s="13"/>
    </row>
    <row r="405" spans="5:14" x14ac:dyDescent="0.3">
      <c r="E405" s="15" t="str">
        <f t="shared" si="50"/>
        <v/>
      </c>
      <c r="F405" s="15" t="s">
        <v>34</v>
      </c>
      <c r="G405" s="15" t="str">
        <f t="shared" si="46"/>
        <v/>
      </c>
      <c r="H405" s="10" t="str">
        <f t="shared" si="44"/>
        <v/>
      </c>
      <c r="I405" s="10" t="str">
        <f t="shared" si="45"/>
        <v/>
      </c>
      <c r="J405" s="10" t="str">
        <f t="shared" si="47"/>
        <v/>
      </c>
      <c r="K405" s="10" t="str">
        <f t="shared" si="48"/>
        <v/>
      </c>
      <c r="L405" s="10" t="str">
        <f t="shared" si="49"/>
        <v/>
      </c>
      <c r="M405" s="13"/>
      <c r="N405" s="13"/>
    </row>
    <row r="406" spans="5:14" x14ac:dyDescent="0.3">
      <c r="E406" s="15" t="str">
        <f t="shared" si="50"/>
        <v/>
      </c>
      <c r="F406" s="15" t="s">
        <v>35</v>
      </c>
      <c r="G406" s="15" t="str">
        <f t="shared" si="46"/>
        <v/>
      </c>
      <c r="H406" s="10" t="str">
        <f t="shared" si="44"/>
        <v/>
      </c>
      <c r="I406" s="10" t="str">
        <f t="shared" si="45"/>
        <v/>
      </c>
      <c r="J406" s="10" t="str">
        <f t="shared" si="47"/>
        <v/>
      </c>
      <c r="K406" s="10" t="str">
        <f t="shared" si="48"/>
        <v/>
      </c>
      <c r="L406" s="10" t="str">
        <f t="shared" si="49"/>
        <v/>
      </c>
      <c r="M406" s="13"/>
      <c r="N406" s="13"/>
    </row>
    <row r="407" spans="5:14" x14ac:dyDescent="0.3">
      <c r="E407" s="15" t="str">
        <f t="shared" si="50"/>
        <v/>
      </c>
      <c r="F407" s="15" t="s">
        <v>36</v>
      </c>
      <c r="G407" s="15" t="str">
        <f t="shared" si="46"/>
        <v/>
      </c>
      <c r="H407" s="10" t="str">
        <f t="shared" si="44"/>
        <v/>
      </c>
      <c r="I407" s="10" t="str">
        <f t="shared" si="45"/>
        <v/>
      </c>
      <c r="J407" s="10" t="str">
        <f t="shared" si="47"/>
        <v/>
      </c>
      <c r="K407" s="10" t="str">
        <f t="shared" si="48"/>
        <v/>
      </c>
      <c r="L407" s="10" t="str">
        <f t="shared" si="49"/>
        <v/>
      </c>
      <c r="M407" s="13"/>
      <c r="N407" s="13"/>
    </row>
    <row r="408" spans="5:14" x14ac:dyDescent="0.3">
      <c r="E408" s="15" t="str">
        <f t="shared" si="50"/>
        <v/>
      </c>
      <c r="F408" s="15" t="s">
        <v>37</v>
      </c>
      <c r="G408" s="15" t="str">
        <f t="shared" si="46"/>
        <v/>
      </c>
      <c r="H408" s="10" t="str">
        <f t="shared" si="44"/>
        <v/>
      </c>
      <c r="I408" s="10" t="str">
        <f t="shared" si="45"/>
        <v/>
      </c>
      <c r="J408" s="10" t="str">
        <f t="shared" si="47"/>
        <v/>
      </c>
      <c r="K408" s="10" t="str">
        <f t="shared" si="48"/>
        <v/>
      </c>
      <c r="L408" s="10" t="str">
        <f t="shared" si="49"/>
        <v/>
      </c>
      <c r="M408" s="13"/>
      <c r="N408" s="13"/>
    </row>
    <row r="409" spans="5:14" x14ac:dyDescent="0.3">
      <c r="E409" s="15" t="str">
        <f t="shared" si="50"/>
        <v/>
      </c>
      <c r="F409" s="15" t="s">
        <v>38</v>
      </c>
      <c r="G409" s="15" t="str">
        <f t="shared" si="46"/>
        <v/>
      </c>
      <c r="H409" s="10" t="str">
        <f t="shared" si="44"/>
        <v/>
      </c>
      <c r="I409" s="10" t="str">
        <f t="shared" si="45"/>
        <v/>
      </c>
      <c r="J409" s="10" t="str">
        <f t="shared" si="47"/>
        <v/>
      </c>
      <c r="K409" s="10" t="str">
        <f t="shared" si="48"/>
        <v/>
      </c>
      <c r="L409" s="10" t="str">
        <f t="shared" si="49"/>
        <v/>
      </c>
      <c r="M409" s="13"/>
      <c r="N409" s="13"/>
    </row>
    <row r="410" spans="5:14" x14ac:dyDescent="0.3">
      <c r="E410" s="15" t="str">
        <f t="shared" si="50"/>
        <v/>
      </c>
      <c r="F410" s="15" t="s">
        <v>27</v>
      </c>
      <c r="G410" s="15" t="str">
        <f t="shared" si="46"/>
        <v/>
      </c>
      <c r="H410" s="10" t="str">
        <f t="shared" si="44"/>
        <v/>
      </c>
      <c r="I410" s="10" t="str">
        <f t="shared" si="45"/>
        <v/>
      </c>
      <c r="J410" s="10" t="str">
        <f t="shared" si="47"/>
        <v/>
      </c>
      <c r="K410" s="10" t="str">
        <f t="shared" si="48"/>
        <v/>
      </c>
      <c r="L410" s="10" t="str">
        <f t="shared" si="49"/>
        <v/>
      </c>
      <c r="M410" s="13"/>
      <c r="N410" s="13"/>
    </row>
    <row r="411" spans="5:14" x14ac:dyDescent="0.3">
      <c r="E411" s="15" t="str">
        <f t="shared" si="50"/>
        <v/>
      </c>
      <c r="F411" s="15" t="s">
        <v>28</v>
      </c>
      <c r="G411" s="15" t="str">
        <f t="shared" si="46"/>
        <v/>
      </c>
      <c r="H411" s="10" t="str">
        <f t="shared" si="44"/>
        <v/>
      </c>
      <c r="I411" s="10" t="str">
        <f t="shared" si="45"/>
        <v/>
      </c>
      <c r="J411" s="10" t="str">
        <f t="shared" si="47"/>
        <v/>
      </c>
      <c r="K411" s="10" t="str">
        <f t="shared" si="48"/>
        <v/>
      </c>
      <c r="L411" s="10" t="str">
        <f t="shared" si="49"/>
        <v/>
      </c>
      <c r="M411" s="13"/>
      <c r="N411" s="13"/>
    </row>
    <row r="412" spans="5:14" x14ac:dyDescent="0.3">
      <c r="E412" s="15" t="str">
        <f t="shared" si="50"/>
        <v/>
      </c>
      <c r="F412" s="15" t="s">
        <v>29</v>
      </c>
      <c r="G412" s="15" t="str">
        <f t="shared" si="46"/>
        <v/>
      </c>
      <c r="H412" s="10" t="str">
        <f t="shared" si="44"/>
        <v/>
      </c>
      <c r="I412" s="10" t="str">
        <f t="shared" si="45"/>
        <v/>
      </c>
      <c r="J412" s="10" t="str">
        <f t="shared" si="47"/>
        <v/>
      </c>
      <c r="K412" s="10" t="str">
        <f t="shared" si="48"/>
        <v/>
      </c>
      <c r="L412" s="10" t="str">
        <f t="shared" si="49"/>
        <v/>
      </c>
      <c r="M412" s="13"/>
      <c r="N412" s="13"/>
    </row>
    <row r="413" spans="5:14" x14ac:dyDescent="0.3">
      <c r="E413" s="15" t="str">
        <f t="shared" si="50"/>
        <v/>
      </c>
      <c r="F413" s="15" t="s">
        <v>30</v>
      </c>
      <c r="G413" s="15" t="str">
        <f t="shared" si="46"/>
        <v/>
      </c>
      <c r="H413" s="10" t="str">
        <f t="shared" si="44"/>
        <v/>
      </c>
      <c r="I413" s="10" t="str">
        <f t="shared" si="45"/>
        <v/>
      </c>
      <c r="J413" s="10" t="str">
        <f t="shared" si="47"/>
        <v/>
      </c>
      <c r="K413" s="10" t="str">
        <f t="shared" si="48"/>
        <v/>
      </c>
      <c r="L413" s="10" t="str">
        <f t="shared" si="49"/>
        <v/>
      </c>
      <c r="M413" s="13"/>
      <c r="N413" s="13"/>
    </row>
    <row r="414" spans="5:14" x14ac:dyDescent="0.3">
      <c r="E414" s="15" t="str">
        <f t="shared" si="50"/>
        <v/>
      </c>
      <c r="F414" s="15" t="s">
        <v>31</v>
      </c>
      <c r="G414" s="15" t="str">
        <f t="shared" si="46"/>
        <v/>
      </c>
      <c r="H414" s="10" t="str">
        <f t="shared" si="44"/>
        <v/>
      </c>
      <c r="I414" s="10" t="str">
        <f t="shared" si="45"/>
        <v/>
      </c>
      <c r="J414" s="10" t="str">
        <f t="shared" si="47"/>
        <v/>
      </c>
      <c r="K414" s="10" t="str">
        <f t="shared" si="48"/>
        <v/>
      </c>
      <c r="L414" s="10" t="str">
        <f t="shared" si="49"/>
        <v/>
      </c>
      <c r="M414" s="13"/>
      <c r="N414" s="13"/>
    </row>
    <row r="415" spans="5:14" x14ac:dyDescent="0.3">
      <c r="E415" s="15" t="str">
        <f t="shared" si="50"/>
        <v/>
      </c>
      <c r="F415" s="15" t="s">
        <v>32</v>
      </c>
      <c r="G415" s="15" t="str">
        <f t="shared" si="46"/>
        <v/>
      </c>
      <c r="H415" s="10" t="str">
        <f t="shared" si="44"/>
        <v/>
      </c>
      <c r="I415" s="10" t="str">
        <f t="shared" si="45"/>
        <v/>
      </c>
      <c r="J415" s="10" t="str">
        <f t="shared" si="47"/>
        <v/>
      </c>
      <c r="K415" s="10" t="str">
        <f t="shared" si="48"/>
        <v/>
      </c>
      <c r="L415" s="10" t="str">
        <f t="shared" si="49"/>
        <v/>
      </c>
      <c r="M415" s="13"/>
      <c r="N415" s="13"/>
    </row>
    <row r="416" spans="5:14" x14ac:dyDescent="0.3">
      <c r="E416" s="15" t="str">
        <f t="shared" si="50"/>
        <v/>
      </c>
      <c r="F416" s="15" t="s">
        <v>33</v>
      </c>
      <c r="G416" s="15" t="str">
        <f t="shared" si="46"/>
        <v/>
      </c>
      <c r="H416" s="10" t="str">
        <f t="shared" si="44"/>
        <v/>
      </c>
      <c r="I416" s="10" t="str">
        <f t="shared" si="45"/>
        <v/>
      </c>
      <c r="J416" s="10" t="str">
        <f t="shared" si="47"/>
        <v/>
      </c>
      <c r="K416" s="10" t="str">
        <f t="shared" si="48"/>
        <v/>
      </c>
      <c r="L416" s="10" t="str">
        <f t="shared" si="49"/>
        <v/>
      </c>
      <c r="M416" s="13"/>
      <c r="N416" s="13"/>
    </row>
    <row r="417" spans="5:14" x14ac:dyDescent="0.3">
      <c r="E417" s="15" t="str">
        <f t="shared" si="50"/>
        <v/>
      </c>
      <c r="F417" s="15" t="s">
        <v>34</v>
      </c>
      <c r="G417" s="15" t="str">
        <f t="shared" si="46"/>
        <v/>
      </c>
      <c r="H417" s="10" t="str">
        <f t="shared" si="44"/>
        <v/>
      </c>
      <c r="I417" s="10" t="str">
        <f t="shared" si="45"/>
        <v/>
      </c>
      <c r="J417" s="10" t="str">
        <f t="shared" si="47"/>
        <v/>
      </c>
      <c r="K417" s="10" t="str">
        <f t="shared" si="48"/>
        <v/>
      </c>
      <c r="L417" s="10" t="str">
        <f t="shared" si="49"/>
        <v/>
      </c>
      <c r="M417" s="13"/>
      <c r="N417" s="13"/>
    </row>
    <row r="418" spans="5:14" x14ac:dyDescent="0.3">
      <c r="E418" s="15" t="str">
        <f t="shared" si="50"/>
        <v/>
      </c>
      <c r="F418" s="15" t="s">
        <v>35</v>
      </c>
      <c r="G418" s="15" t="str">
        <f t="shared" si="46"/>
        <v/>
      </c>
      <c r="H418" s="10" t="str">
        <f t="shared" si="44"/>
        <v/>
      </c>
      <c r="I418" s="10" t="str">
        <f t="shared" si="45"/>
        <v/>
      </c>
      <c r="J418" s="10" t="str">
        <f t="shared" si="47"/>
        <v/>
      </c>
      <c r="K418" s="10" t="str">
        <f t="shared" si="48"/>
        <v/>
      </c>
      <c r="L418" s="10" t="str">
        <f t="shared" si="49"/>
        <v/>
      </c>
      <c r="M418" s="13"/>
      <c r="N418" s="13"/>
    </row>
    <row r="419" spans="5:14" x14ac:dyDescent="0.3">
      <c r="E419" s="15" t="str">
        <f t="shared" si="50"/>
        <v/>
      </c>
      <c r="F419" s="15" t="s">
        <v>36</v>
      </c>
      <c r="G419" s="15" t="str">
        <f t="shared" si="46"/>
        <v/>
      </c>
      <c r="H419" s="10" t="str">
        <f t="shared" si="44"/>
        <v/>
      </c>
      <c r="I419" s="10" t="str">
        <f t="shared" si="45"/>
        <v/>
      </c>
      <c r="J419" s="10" t="str">
        <f t="shared" si="47"/>
        <v/>
      </c>
      <c r="K419" s="10" t="str">
        <f t="shared" si="48"/>
        <v/>
      </c>
      <c r="L419" s="10" t="str">
        <f t="shared" si="49"/>
        <v/>
      </c>
      <c r="M419" s="13"/>
      <c r="N419" s="13"/>
    </row>
    <row r="420" spans="5:14" x14ac:dyDescent="0.3">
      <c r="E420" s="15" t="str">
        <f t="shared" si="50"/>
        <v/>
      </c>
      <c r="F420" s="15" t="s">
        <v>37</v>
      </c>
      <c r="G420" s="15" t="str">
        <f t="shared" si="46"/>
        <v/>
      </c>
      <c r="H420" s="10" t="str">
        <f t="shared" si="44"/>
        <v/>
      </c>
      <c r="I420" s="10" t="str">
        <f t="shared" si="45"/>
        <v/>
      </c>
      <c r="J420" s="10" t="str">
        <f t="shared" si="47"/>
        <v/>
      </c>
      <c r="K420" s="10" t="str">
        <f t="shared" si="48"/>
        <v/>
      </c>
      <c r="L420" s="10" t="str">
        <f t="shared" si="49"/>
        <v/>
      </c>
      <c r="M420" s="13"/>
      <c r="N420" s="13"/>
    </row>
    <row r="421" spans="5:14" x14ac:dyDescent="0.3">
      <c r="E421" s="15" t="str">
        <f t="shared" si="50"/>
        <v/>
      </c>
      <c r="F421" s="15" t="s">
        <v>38</v>
      </c>
      <c r="G421" s="15" t="str">
        <f t="shared" si="46"/>
        <v/>
      </c>
      <c r="H421" s="10" t="str">
        <f t="shared" si="44"/>
        <v/>
      </c>
      <c r="I421" s="10" t="str">
        <f t="shared" si="45"/>
        <v/>
      </c>
      <c r="J421" s="10" t="str">
        <f t="shared" si="47"/>
        <v/>
      </c>
      <c r="K421" s="10" t="str">
        <f t="shared" si="48"/>
        <v/>
      </c>
      <c r="L421" s="10" t="str">
        <f t="shared" si="49"/>
        <v/>
      </c>
      <c r="M421" s="13"/>
      <c r="N421" s="13"/>
    </row>
    <row r="422" spans="5:14" x14ac:dyDescent="0.3">
      <c r="E422" s="15" t="str">
        <f t="shared" si="50"/>
        <v/>
      </c>
      <c r="F422" s="15" t="s">
        <v>27</v>
      </c>
      <c r="G422" s="15" t="str">
        <f t="shared" si="46"/>
        <v/>
      </c>
      <c r="H422" s="10" t="str">
        <f t="shared" si="44"/>
        <v/>
      </c>
      <c r="I422" s="10" t="str">
        <f t="shared" si="45"/>
        <v/>
      </c>
      <c r="J422" s="10" t="str">
        <f t="shared" si="47"/>
        <v/>
      </c>
      <c r="K422" s="10" t="str">
        <f t="shared" si="48"/>
        <v/>
      </c>
      <c r="L422" s="10" t="str">
        <f t="shared" si="49"/>
        <v/>
      </c>
      <c r="M422" s="13"/>
      <c r="N422" s="13"/>
    </row>
    <row r="423" spans="5:14" x14ac:dyDescent="0.3">
      <c r="E423" s="15" t="str">
        <f t="shared" si="50"/>
        <v/>
      </c>
      <c r="F423" s="15" t="s">
        <v>28</v>
      </c>
      <c r="G423" s="15" t="str">
        <f t="shared" si="46"/>
        <v/>
      </c>
      <c r="H423" s="10" t="str">
        <f t="shared" si="44"/>
        <v/>
      </c>
      <c r="I423" s="10" t="str">
        <f t="shared" si="45"/>
        <v/>
      </c>
      <c r="J423" s="10" t="str">
        <f t="shared" si="47"/>
        <v/>
      </c>
      <c r="K423" s="10" t="str">
        <f t="shared" si="48"/>
        <v/>
      </c>
      <c r="L423" s="10" t="str">
        <f t="shared" si="49"/>
        <v/>
      </c>
      <c r="M423" s="13"/>
      <c r="N423" s="13"/>
    </row>
    <row r="424" spans="5:14" x14ac:dyDescent="0.3">
      <c r="E424" s="15" t="str">
        <f t="shared" si="50"/>
        <v/>
      </c>
      <c r="F424" s="15" t="s">
        <v>29</v>
      </c>
      <c r="G424" s="15" t="str">
        <f t="shared" si="46"/>
        <v/>
      </c>
      <c r="H424" s="10" t="str">
        <f t="shared" si="44"/>
        <v/>
      </c>
      <c r="I424" s="10" t="str">
        <f t="shared" si="45"/>
        <v/>
      </c>
      <c r="J424" s="10" t="str">
        <f t="shared" si="47"/>
        <v/>
      </c>
      <c r="K424" s="10" t="str">
        <f t="shared" si="48"/>
        <v/>
      </c>
      <c r="L424" s="10" t="str">
        <f t="shared" si="49"/>
        <v/>
      </c>
      <c r="M424" s="13"/>
      <c r="N424" s="13"/>
    </row>
    <row r="425" spans="5:14" x14ac:dyDescent="0.3">
      <c r="E425" s="15" t="str">
        <f t="shared" si="50"/>
        <v/>
      </c>
      <c r="F425" s="15" t="s">
        <v>30</v>
      </c>
      <c r="G425" s="15" t="str">
        <f t="shared" si="46"/>
        <v/>
      </c>
      <c r="H425" s="10" t="str">
        <f t="shared" si="44"/>
        <v/>
      </c>
      <c r="I425" s="10" t="str">
        <f t="shared" si="45"/>
        <v/>
      </c>
      <c r="J425" s="10" t="str">
        <f t="shared" si="47"/>
        <v/>
      </c>
      <c r="K425" s="10" t="str">
        <f t="shared" si="48"/>
        <v/>
      </c>
      <c r="L425" s="10" t="str">
        <f t="shared" si="49"/>
        <v/>
      </c>
      <c r="M425" s="13"/>
      <c r="N425" s="13"/>
    </row>
    <row r="426" spans="5:14" x14ac:dyDescent="0.3">
      <c r="E426" s="15" t="str">
        <f t="shared" si="50"/>
        <v/>
      </c>
      <c r="F426" s="15" t="s">
        <v>31</v>
      </c>
      <c r="G426" s="15" t="str">
        <f t="shared" si="46"/>
        <v/>
      </c>
      <c r="H426" s="10" t="str">
        <f t="shared" si="44"/>
        <v/>
      </c>
      <c r="I426" s="10" t="str">
        <f t="shared" si="45"/>
        <v/>
      </c>
      <c r="J426" s="10" t="str">
        <f t="shared" si="47"/>
        <v/>
      </c>
      <c r="K426" s="10" t="str">
        <f t="shared" si="48"/>
        <v/>
      </c>
      <c r="L426" s="10" t="str">
        <f t="shared" si="49"/>
        <v/>
      </c>
      <c r="M426" s="13"/>
      <c r="N426" s="13"/>
    </row>
    <row r="427" spans="5:14" x14ac:dyDescent="0.3">
      <c r="E427" s="15" t="str">
        <f t="shared" si="50"/>
        <v/>
      </c>
      <c r="F427" s="15" t="s">
        <v>32</v>
      </c>
      <c r="G427" s="15" t="str">
        <f t="shared" si="46"/>
        <v/>
      </c>
      <c r="H427" s="10" t="str">
        <f t="shared" si="44"/>
        <v/>
      </c>
      <c r="I427" s="10" t="str">
        <f t="shared" si="45"/>
        <v/>
      </c>
      <c r="J427" s="10" t="str">
        <f t="shared" si="47"/>
        <v/>
      </c>
      <c r="K427" s="10" t="str">
        <f t="shared" si="48"/>
        <v/>
      </c>
      <c r="L427" s="10" t="str">
        <f t="shared" si="49"/>
        <v/>
      </c>
      <c r="M427" s="13"/>
      <c r="N427" s="13"/>
    </row>
    <row r="428" spans="5:14" x14ac:dyDescent="0.3">
      <c r="E428" s="15" t="str">
        <f t="shared" si="50"/>
        <v/>
      </c>
      <c r="F428" s="15" t="s">
        <v>33</v>
      </c>
      <c r="G428" s="15" t="str">
        <f t="shared" si="46"/>
        <v/>
      </c>
      <c r="H428" s="10" t="str">
        <f t="shared" si="44"/>
        <v/>
      </c>
      <c r="I428" s="10" t="str">
        <f t="shared" si="45"/>
        <v/>
      </c>
      <c r="J428" s="10" t="str">
        <f t="shared" si="47"/>
        <v/>
      </c>
      <c r="K428" s="10" t="str">
        <f t="shared" si="48"/>
        <v/>
      </c>
      <c r="L428" s="10" t="str">
        <f t="shared" si="49"/>
        <v/>
      </c>
      <c r="M428" s="13"/>
      <c r="N428" s="13"/>
    </row>
    <row r="429" spans="5:14" x14ac:dyDescent="0.3">
      <c r="E429" s="15" t="str">
        <f t="shared" si="50"/>
        <v/>
      </c>
      <c r="F429" s="15" t="s">
        <v>34</v>
      </c>
      <c r="G429" s="15" t="str">
        <f t="shared" si="46"/>
        <v/>
      </c>
      <c r="H429" s="10" t="str">
        <f t="shared" si="44"/>
        <v/>
      </c>
      <c r="I429" s="10" t="str">
        <f t="shared" si="45"/>
        <v/>
      </c>
      <c r="J429" s="10" t="str">
        <f t="shared" si="47"/>
        <v/>
      </c>
      <c r="K429" s="10" t="str">
        <f t="shared" si="48"/>
        <v/>
      </c>
      <c r="L429" s="10" t="str">
        <f t="shared" si="49"/>
        <v/>
      </c>
      <c r="M429" s="13"/>
      <c r="N429" s="13"/>
    </row>
    <row r="430" spans="5:14" x14ac:dyDescent="0.3">
      <c r="E430" s="15" t="str">
        <f t="shared" si="50"/>
        <v/>
      </c>
      <c r="F430" s="15" t="s">
        <v>35</v>
      </c>
      <c r="G430" s="15" t="str">
        <f t="shared" si="46"/>
        <v/>
      </c>
      <c r="H430" s="10" t="str">
        <f t="shared" si="44"/>
        <v/>
      </c>
      <c r="I430" s="10" t="str">
        <f t="shared" si="45"/>
        <v/>
      </c>
      <c r="J430" s="10" t="str">
        <f t="shared" si="47"/>
        <v/>
      </c>
      <c r="K430" s="10" t="str">
        <f t="shared" si="48"/>
        <v/>
      </c>
      <c r="L430" s="10" t="str">
        <f t="shared" si="49"/>
        <v/>
      </c>
      <c r="M430" s="13"/>
      <c r="N430" s="13"/>
    </row>
    <row r="431" spans="5:14" x14ac:dyDescent="0.3">
      <c r="E431" s="15" t="str">
        <f t="shared" si="50"/>
        <v/>
      </c>
      <c r="F431" s="15" t="s">
        <v>36</v>
      </c>
      <c r="G431" s="15" t="str">
        <f t="shared" si="46"/>
        <v/>
      </c>
      <c r="H431" s="10" t="str">
        <f t="shared" ref="H431:H494" si="51">IF(G431&lt;=$B$18,PMT($B$9,$B$18-G430,-K430)+M431,"")</f>
        <v/>
      </c>
      <c r="I431" s="10" t="str">
        <f t="shared" ref="I431:I494" si="52">IF(G431&lt;=$B$18,K430*$B$9,"")</f>
        <v/>
      </c>
      <c r="J431" s="10" t="str">
        <f t="shared" si="47"/>
        <v/>
      </c>
      <c r="K431" s="10" t="str">
        <f t="shared" si="48"/>
        <v/>
      </c>
      <c r="L431" s="10" t="str">
        <f t="shared" si="49"/>
        <v/>
      </c>
      <c r="M431" s="13"/>
      <c r="N431" s="13"/>
    </row>
    <row r="432" spans="5:14" x14ac:dyDescent="0.3">
      <c r="E432" s="15" t="str">
        <f t="shared" si="50"/>
        <v/>
      </c>
      <c r="F432" s="15" t="s">
        <v>37</v>
      </c>
      <c r="G432" s="15" t="str">
        <f t="shared" si="46"/>
        <v/>
      </c>
      <c r="H432" s="10" t="str">
        <f t="shared" si="51"/>
        <v/>
      </c>
      <c r="I432" s="10" t="str">
        <f t="shared" si="52"/>
        <v/>
      </c>
      <c r="J432" s="10" t="str">
        <f t="shared" si="47"/>
        <v/>
      </c>
      <c r="K432" s="10" t="str">
        <f t="shared" si="48"/>
        <v/>
      </c>
      <c r="L432" s="10" t="str">
        <f t="shared" si="49"/>
        <v/>
      </c>
      <c r="M432" s="13"/>
      <c r="N432" s="13"/>
    </row>
    <row r="433" spans="5:14" x14ac:dyDescent="0.3">
      <c r="E433" s="15" t="str">
        <f t="shared" si="50"/>
        <v/>
      </c>
      <c r="F433" s="15" t="s">
        <v>38</v>
      </c>
      <c r="G433" s="15" t="str">
        <f t="shared" si="46"/>
        <v/>
      </c>
      <c r="H433" s="10" t="str">
        <f t="shared" si="51"/>
        <v/>
      </c>
      <c r="I433" s="10" t="str">
        <f t="shared" si="52"/>
        <v/>
      </c>
      <c r="J433" s="10" t="str">
        <f t="shared" si="47"/>
        <v/>
      </c>
      <c r="K433" s="10" t="str">
        <f t="shared" si="48"/>
        <v/>
      </c>
      <c r="L433" s="10" t="str">
        <f t="shared" si="49"/>
        <v/>
      </c>
      <c r="M433" s="13"/>
      <c r="N433" s="13"/>
    </row>
    <row r="434" spans="5:14" x14ac:dyDescent="0.3">
      <c r="E434" s="15" t="str">
        <f t="shared" si="50"/>
        <v/>
      </c>
      <c r="F434" s="15" t="s">
        <v>27</v>
      </c>
      <c r="G434" s="15" t="str">
        <f t="shared" si="46"/>
        <v/>
      </c>
      <c r="H434" s="10" t="str">
        <f t="shared" si="51"/>
        <v/>
      </c>
      <c r="I434" s="10" t="str">
        <f t="shared" si="52"/>
        <v/>
      </c>
      <c r="J434" s="10" t="str">
        <f t="shared" si="47"/>
        <v/>
      </c>
      <c r="K434" s="10" t="str">
        <f t="shared" si="48"/>
        <v/>
      </c>
      <c r="L434" s="10" t="str">
        <f t="shared" si="49"/>
        <v/>
      </c>
      <c r="M434" s="13"/>
      <c r="N434" s="13"/>
    </row>
    <row r="435" spans="5:14" x14ac:dyDescent="0.3">
      <c r="E435" s="15" t="str">
        <f t="shared" si="50"/>
        <v/>
      </c>
      <c r="F435" s="15" t="s">
        <v>28</v>
      </c>
      <c r="G435" s="15" t="str">
        <f t="shared" si="46"/>
        <v/>
      </c>
      <c r="H435" s="10" t="str">
        <f t="shared" si="51"/>
        <v/>
      </c>
      <c r="I435" s="10" t="str">
        <f t="shared" si="52"/>
        <v/>
      </c>
      <c r="J435" s="10" t="str">
        <f t="shared" si="47"/>
        <v/>
      </c>
      <c r="K435" s="10" t="str">
        <f t="shared" si="48"/>
        <v/>
      </c>
      <c r="L435" s="10" t="str">
        <f t="shared" si="49"/>
        <v/>
      </c>
      <c r="M435" s="13"/>
      <c r="N435" s="13"/>
    </row>
    <row r="436" spans="5:14" x14ac:dyDescent="0.3">
      <c r="E436" s="15" t="str">
        <f t="shared" si="50"/>
        <v/>
      </c>
      <c r="F436" s="15" t="s">
        <v>29</v>
      </c>
      <c r="G436" s="15" t="str">
        <f t="shared" si="46"/>
        <v/>
      </c>
      <c r="H436" s="10" t="str">
        <f t="shared" si="51"/>
        <v/>
      </c>
      <c r="I436" s="10" t="str">
        <f t="shared" si="52"/>
        <v/>
      </c>
      <c r="J436" s="10" t="str">
        <f t="shared" si="47"/>
        <v/>
      </c>
      <c r="K436" s="10" t="str">
        <f t="shared" si="48"/>
        <v/>
      </c>
      <c r="L436" s="10" t="str">
        <f t="shared" si="49"/>
        <v/>
      </c>
      <c r="M436" s="13"/>
      <c r="N436" s="13"/>
    </row>
    <row r="437" spans="5:14" x14ac:dyDescent="0.3">
      <c r="E437" s="15" t="str">
        <f t="shared" si="50"/>
        <v/>
      </c>
      <c r="F437" s="15" t="s">
        <v>30</v>
      </c>
      <c r="G437" s="15" t="str">
        <f t="shared" si="46"/>
        <v/>
      </c>
      <c r="H437" s="10" t="str">
        <f t="shared" si="51"/>
        <v/>
      </c>
      <c r="I437" s="10" t="str">
        <f t="shared" si="52"/>
        <v/>
      </c>
      <c r="J437" s="10" t="str">
        <f t="shared" si="47"/>
        <v/>
      </c>
      <c r="K437" s="10" t="str">
        <f t="shared" si="48"/>
        <v/>
      </c>
      <c r="L437" s="10" t="str">
        <f t="shared" si="49"/>
        <v/>
      </c>
      <c r="M437" s="13"/>
      <c r="N437" s="13"/>
    </row>
    <row r="438" spans="5:14" x14ac:dyDescent="0.3">
      <c r="E438" s="15" t="str">
        <f t="shared" si="50"/>
        <v/>
      </c>
      <c r="F438" s="15" t="s">
        <v>31</v>
      </c>
      <c r="G438" s="15" t="str">
        <f t="shared" si="46"/>
        <v/>
      </c>
      <c r="H438" s="10" t="str">
        <f t="shared" si="51"/>
        <v/>
      </c>
      <c r="I438" s="10" t="str">
        <f t="shared" si="52"/>
        <v/>
      </c>
      <c r="J438" s="10" t="str">
        <f t="shared" si="47"/>
        <v/>
      </c>
      <c r="K438" s="10" t="str">
        <f t="shared" si="48"/>
        <v/>
      </c>
      <c r="L438" s="10" t="str">
        <f t="shared" si="49"/>
        <v/>
      </c>
      <c r="M438" s="13"/>
      <c r="N438" s="13"/>
    </row>
    <row r="439" spans="5:14" x14ac:dyDescent="0.3">
      <c r="E439" s="15" t="str">
        <f t="shared" si="50"/>
        <v/>
      </c>
      <c r="F439" s="15" t="s">
        <v>32</v>
      </c>
      <c r="G439" s="15" t="str">
        <f t="shared" si="46"/>
        <v/>
      </c>
      <c r="H439" s="10" t="str">
        <f t="shared" si="51"/>
        <v/>
      </c>
      <c r="I439" s="10" t="str">
        <f t="shared" si="52"/>
        <v/>
      </c>
      <c r="J439" s="10" t="str">
        <f t="shared" si="47"/>
        <v/>
      </c>
      <c r="K439" s="10" t="str">
        <f t="shared" si="48"/>
        <v/>
      </c>
      <c r="L439" s="10" t="str">
        <f t="shared" si="49"/>
        <v/>
      </c>
      <c r="M439" s="13"/>
      <c r="N439" s="13"/>
    </row>
    <row r="440" spans="5:14" x14ac:dyDescent="0.3">
      <c r="E440" s="15" t="str">
        <f t="shared" si="50"/>
        <v/>
      </c>
      <c r="F440" s="15" t="s">
        <v>33</v>
      </c>
      <c r="G440" s="15" t="str">
        <f t="shared" si="46"/>
        <v/>
      </c>
      <c r="H440" s="10" t="str">
        <f t="shared" si="51"/>
        <v/>
      </c>
      <c r="I440" s="10" t="str">
        <f t="shared" si="52"/>
        <v/>
      </c>
      <c r="J440" s="10" t="str">
        <f t="shared" si="47"/>
        <v/>
      </c>
      <c r="K440" s="10" t="str">
        <f t="shared" si="48"/>
        <v/>
      </c>
      <c r="L440" s="10" t="str">
        <f t="shared" si="49"/>
        <v/>
      </c>
      <c r="M440" s="13"/>
      <c r="N440" s="13"/>
    </row>
    <row r="441" spans="5:14" x14ac:dyDescent="0.3">
      <c r="E441" s="15" t="str">
        <f t="shared" si="50"/>
        <v/>
      </c>
      <c r="F441" s="15" t="s">
        <v>34</v>
      </c>
      <c r="G441" s="15" t="str">
        <f t="shared" si="46"/>
        <v/>
      </c>
      <c r="H441" s="10" t="str">
        <f t="shared" si="51"/>
        <v/>
      </c>
      <c r="I441" s="10" t="str">
        <f t="shared" si="52"/>
        <v/>
      </c>
      <c r="J441" s="10" t="str">
        <f t="shared" si="47"/>
        <v/>
      </c>
      <c r="K441" s="10" t="str">
        <f t="shared" si="48"/>
        <v/>
      </c>
      <c r="L441" s="10" t="str">
        <f t="shared" si="49"/>
        <v/>
      </c>
      <c r="M441" s="13"/>
      <c r="N441" s="13"/>
    </row>
    <row r="442" spans="5:14" x14ac:dyDescent="0.3">
      <c r="E442" s="15" t="str">
        <f t="shared" si="50"/>
        <v/>
      </c>
      <c r="F442" s="15" t="s">
        <v>35</v>
      </c>
      <c r="G442" s="15" t="str">
        <f t="shared" si="46"/>
        <v/>
      </c>
      <c r="H442" s="10" t="str">
        <f t="shared" si="51"/>
        <v/>
      </c>
      <c r="I442" s="10" t="str">
        <f t="shared" si="52"/>
        <v/>
      </c>
      <c r="J442" s="10" t="str">
        <f t="shared" si="47"/>
        <v/>
      </c>
      <c r="K442" s="10" t="str">
        <f t="shared" si="48"/>
        <v/>
      </c>
      <c r="L442" s="10" t="str">
        <f t="shared" si="49"/>
        <v/>
      </c>
      <c r="M442" s="13"/>
      <c r="N442" s="13"/>
    </row>
    <row r="443" spans="5:14" x14ac:dyDescent="0.3">
      <c r="E443" s="15" t="str">
        <f t="shared" si="50"/>
        <v/>
      </c>
      <c r="F443" s="15" t="s">
        <v>36</v>
      </c>
      <c r="G443" s="15" t="str">
        <f t="shared" si="46"/>
        <v/>
      </c>
      <c r="H443" s="10" t="str">
        <f t="shared" si="51"/>
        <v/>
      </c>
      <c r="I443" s="10" t="str">
        <f t="shared" si="52"/>
        <v/>
      </c>
      <c r="J443" s="10" t="str">
        <f t="shared" si="47"/>
        <v/>
      </c>
      <c r="K443" s="10" t="str">
        <f t="shared" si="48"/>
        <v/>
      </c>
      <c r="L443" s="10" t="str">
        <f t="shared" si="49"/>
        <v/>
      </c>
      <c r="M443" s="13"/>
      <c r="N443" s="13"/>
    </row>
    <row r="444" spans="5:14" x14ac:dyDescent="0.3">
      <c r="E444" s="15" t="str">
        <f t="shared" si="50"/>
        <v/>
      </c>
      <c r="F444" s="15" t="s">
        <v>37</v>
      </c>
      <c r="G444" s="15" t="str">
        <f t="shared" si="46"/>
        <v/>
      </c>
      <c r="H444" s="10" t="str">
        <f t="shared" si="51"/>
        <v/>
      </c>
      <c r="I444" s="10" t="str">
        <f t="shared" si="52"/>
        <v/>
      </c>
      <c r="J444" s="10" t="str">
        <f t="shared" si="47"/>
        <v/>
      </c>
      <c r="K444" s="10" t="str">
        <f t="shared" si="48"/>
        <v/>
      </c>
      <c r="L444" s="10" t="str">
        <f t="shared" si="49"/>
        <v/>
      </c>
      <c r="M444" s="13"/>
      <c r="N444" s="13"/>
    </row>
    <row r="445" spans="5:14" x14ac:dyDescent="0.3">
      <c r="E445" s="15" t="str">
        <f t="shared" si="50"/>
        <v/>
      </c>
      <c r="F445" s="15" t="s">
        <v>38</v>
      </c>
      <c r="G445" s="15" t="str">
        <f t="shared" si="46"/>
        <v/>
      </c>
      <c r="H445" s="10" t="str">
        <f t="shared" si="51"/>
        <v/>
      </c>
      <c r="I445" s="10" t="str">
        <f t="shared" si="52"/>
        <v/>
      </c>
      <c r="J445" s="10" t="str">
        <f t="shared" si="47"/>
        <v/>
      </c>
      <c r="K445" s="10" t="str">
        <f t="shared" si="48"/>
        <v/>
      </c>
      <c r="L445" s="10" t="str">
        <f t="shared" si="49"/>
        <v/>
      </c>
      <c r="M445" s="13"/>
      <c r="N445" s="13"/>
    </row>
    <row r="446" spans="5:14" x14ac:dyDescent="0.3">
      <c r="E446" s="15" t="str">
        <f t="shared" si="50"/>
        <v/>
      </c>
      <c r="F446" s="15" t="s">
        <v>27</v>
      </c>
      <c r="G446" s="15" t="str">
        <f t="shared" si="46"/>
        <v/>
      </c>
      <c r="H446" s="10" t="str">
        <f t="shared" si="51"/>
        <v/>
      </c>
      <c r="I446" s="10" t="str">
        <f t="shared" si="52"/>
        <v/>
      </c>
      <c r="J446" s="10" t="str">
        <f t="shared" si="47"/>
        <v/>
      </c>
      <c r="K446" s="10" t="str">
        <f t="shared" si="48"/>
        <v/>
      </c>
      <c r="L446" s="10" t="str">
        <f t="shared" si="49"/>
        <v/>
      </c>
      <c r="M446" s="13"/>
      <c r="N446" s="13"/>
    </row>
    <row r="447" spans="5:14" x14ac:dyDescent="0.3">
      <c r="E447" s="15" t="str">
        <f t="shared" si="50"/>
        <v/>
      </c>
      <c r="F447" s="15" t="s">
        <v>28</v>
      </c>
      <c r="G447" s="15" t="str">
        <f t="shared" si="46"/>
        <v/>
      </c>
      <c r="H447" s="10" t="str">
        <f t="shared" si="51"/>
        <v/>
      </c>
      <c r="I447" s="10" t="str">
        <f t="shared" si="52"/>
        <v/>
      </c>
      <c r="J447" s="10" t="str">
        <f t="shared" si="47"/>
        <v/>
      </c>
      <c r="K447" s="10" t="str">
        <f t="shared" si="48"/>
        <v/>
      </c>
      <c r="L447" s="10" t="str">
        <f t="shared" si="49"/>
        <v/>
      </c>
      <c r="M447" s="13"/>
      <c r="N447" s="13"/>
    </row>
    <row r="448" spans="5:14" x14ac:dyDescent="0.3">
      <c r="E448" s="15" t="str">
        <f t="shared" si="50"/>
        <v/>
      </c>
      <c r="F448" s="15" t="s">
        <v>29</v>
      </c>
      <c r="G448" s="15" t="str">
        <f t="shared" si="46"/>
        <v/>
      </c>
      <c r="H448" s="10" t="str">
        <f t="shared" si="51"/>
        <v/>
      </c>
      <c r="I448" s="10" t="str">
        <f t="shared" si="52"/>
        <v/>
      </c>
      <c r="J448" s="10" t="str">
        <f t="shared" si="47"/>
        <v/>
      </c>
      <c r="K448" s="10" t="str">
        <f t="shared" si="48"/>
        <v/>
      </c>
      <c r="L448" s="10" t="str">
        <f t="shared" si="49"/>
        <v/>
      </c>
      <c r="M448" s="13"/>
      <c r="N448" s="13"/>
    </row>
    <row r="449" spans="5:14" x14ac:dyDescent="0.3">
      <c r="E449" s="15" t="str">
        <f t="shared" si="50"/>
        <v/>
      </c>
      <c r="F449" s="15" t="s">
        <v>30</v>
      </c>
      <c r="G449" s="15" t="str">
        <f t="shared" si="46"/>
        <v/>
      </c>
      <c r="H449" s="10" t="str">
        <f t="shared" si="51"/>
        <v/>
      </c>
      <c r="I449" s="10" t="str">
        <f t="shared" si="52"/>
        <v/>
      </c>
      <c r="J449" s="10" t="str">
        <f t="shared" si="47"/>
        <v/>
      </c>
      <c r="K449" s="10" t="str">
        <f t="shared" si="48"/>
        <v/>
      </c>
      <c r="L449" s="10" t="str">
        <f t="shared" si="49"/>
        <v/>
      </c>
      <c r="M449" s="13"/>
      <c r="N449" s="13"/>
    </row>
    <row r="450" spans="5:14" x14ac:dyDescent="0.3">
      <c r="E450" s="15" t="str">
        <f t="shared" si="50"/>
        <v/>
      </c>
      <c r="F450" s="15" t="s">
        <v>31</v>
      </c>
      <c r="G450" s="15" t="str">
        <f t="shared" si="46"/>
        <v/>
      </c>
      <c r="H450" s="10" t="str">
        <f t="shared" si="51"/>
        <v/>
      </c>
      <c r="I450" s="10" t="str">
        <f t="shared" si="52"/>
        <v/>
      </c>
      <c r="J450" s="10" t="str">
        <f t="shared" si="47"/>
        <v/>
      </c>
      <c r="K450" s="10" t="str">
        <f t="shared" si="48"/>
        <v/>
      </c>
      <c r="L450" s="10" t="str">
        <f t="shared" si="49"/>
        <v/>
      </c>
      <c r="M450" s="13"/>
      <c r="N450" s="13"/>
    </row>
    <row r="451" spans="5:14" x14ac:dyDescent="0.3">
      <c r="E451" s="15" t="str">
        <f t="shared" si="50"/>
        <v/>
      </c>
      <c r="F451" s="15" t="s">
        <v>32</v>
      </c>
      <c r="G451" s="15" t="str">
        <f t="shared" ref="G451:G500" si="53">IF(G450&gt;=$B$18,"",G450+1)</f>
        <v/>
      </c>
      <c r="H451" s="10" t="str">
        <f t="shared" si="51"/>
        <v/>
      </c>
      <c r="I451" s="10" t="str">
        <f t="shared" si="52"/>
        <v/>
      </c>
      <c r="J451" s="10" t="str">
        <f t="shared" ref="J451:J500" si="54">IF(G451&lt;=$B$18,H451-I451,"")</f>
        <v/>
      </c>
      <c r="K451" s="10" t="str">
        <f t="shared" ref="K451:K500" si="55">IF(G451&lt;=$B$18,K450-J451,"")</f>
        <v/>
      </c>
      <c r="L451" s="10" t="str">
        <f t="shared" ref="L451:L500" si="56">IF(G451&lt;=$B$18,L450+J451,"")</f>
        <v/>
      </c>
      <c r="M451" s="13"/>
      <c r="N451" s="13"/>
    </row>
    <row r="452" spans="5:14" x14ac:dyDescent="0.3">
      <c r="E452" s="15" t="str">
        <f t="shared" ref="E452:E500" si="57">IF(G451&gt;=$B$18,"",INT(G451/12)+1)</f>
        <v/>
      </c>
      <c r="F452" s="15" t="s">
        <v>33</v>
      </c>
      <c r="G452" s="15" t="str">
        <f t="shared" si="53"/>
        <v/>
      </c>
      <c r="H452" s="10" t="str">
        <f t="shared" si="51"/>
        <v/>
      </c>
      <c r="I452" s="10" t="str">
        <f t="shared" si="52"/>
        <v/>
      </c>
      <c r="J452" s="10" t="str">
        <f t="shared" si="54"/>
        <v/>
      </c>
      <c r="K452" s="10" t="str">
        <f t="shared" si="55"/>
        <v/>
      </c>
      <c r="L452" s="10" t="str">
        <f t="shared" si="56"/>
        <v/>
      </c>
      <c r="M452" s="13"/>
      <c r="N452" s="13"/>
    </row>
    <row r="453" spans="5:14" x14ac:dyDescent="0.3">
      <c r="E453" s="15" t="str">
        <f t="shared" si="57"/>
        <v/>
      </c>
      <c r="F453" s="15" t="s">
        <v>34</v>
      </c>
      <c r="G453" s="15" t="str">
        <f t="shared" si="53"/>
        <v/>
      </c>
      <c r="H453" s="10" t="str">
        <f t="shared" si="51"/>
        <v/>
      </c>
      <c r="I453" s="10" t="str">
        <f t="shared" si="52"/>
        <v/>
      </c>
      <c r="J453" s="10" t="str">
        <f t="shared" si="54"/>
        <v/>
      </c>
      <c r="K453" s="10" t="str">
        <f t="shared" si="55"/>
        <v/>
      </c>
      <c r="L453" s="10" t="str">
        <f t="shared" si="56"/>
        <v/>
      </c>
      <c r="M453" s="13"/>
      <c r="N453" s="13"/>
    </row>
    <row r="454" spans="5:14" x14ac:dyDescent="0.3">
      <c r="E454" s="15" t="str">
        <f t="shared" si="57"/>
        <v/>
      </c>
      <c r="F454" s="15" t="s">
        <v>35</v>
      </c>
      <c r="G454" s="15" t="str">
        <f t="shared" si="53"/>
        <v/>
      </c>
      <c r="H454" s="10" t="str">
        <f t="shared" si="51"/>
        <v/>
      </c>
      <c r="I454" s="10" t="str">
        <f t="shared" si="52"/>
        <v/>
      </c>
      <c r="J454" s="10" t="str">
        <f t="shared" si="54"/>
        <v/>
      </c>
      <c r="K454" s="10" t="str">
        <f t="shared" si="55"/>
        <v/>
      </c>
      <c r="L454" s="10" t="str">
        <f t="shared" si="56"/>
        <v/>
      </c>
      <c r="M454" s="13"/>
      <c r="N454" s="13"/>
    </row>
    <row r="455" spans="5:14" x14ac:dyDescent="0.3">
      <c r="E455" s="15" t="str">
        <f t="shared" si="57"/>
        <v/>
      </c>
      <c r="F455" s="15" t="s">
        <v>36</v>
      </c>
      <c r="G455" s="15" t="str">
        <f t="shared" si="53"/>
        <v/>
      </c>
      <c r="H455" s="10" t="str">
        <f t="shared" si="51"/>
        <v/>
      </c>
      <c r="I455" s="10" t="str">
        <f t="shared" si="52"/>
        <v/>
      </c>
      <c r="J455" s="10" t="str">
        <f t="shared" si="54"/>
        <v/>
      </c>
      <c r="K455" s="10" t="str">
        <f t="shared" si="55"/>
        <v/>
      </c>
      <c r="L455" s="10" t="str">
        <f t="shared" si="56"/>
        <v/>
      </c>
      <c r="M455" s="13"/>
      <c r="N455" s="13"/>
    </row>
    <row r="456" spans="5:14" x14ac:dyDescent="0.3">
      <c r="E456" s="15" t="str">
        <f t="shared" si="57"/>
        <v/>
      </c>
      <c r="F456" s="15" t="s">
        <v>37</v>
      </c>
      <c r="G456" s="15" t="str">
        <f t="shared" si="53"/>
        <v/>
      </c>
      <c r="H456" s="10" t="str">
        <f t="shared" si="51"/>
        <v/>
      </c>
      <c r="I456" s="10" t="str">
        <f t="shared" si="52"/>
        <v/>
      </c>
      <c r="J456" s="10" t="str">
        <f t="shared" si="54"/>
        <v/>
      </c>
      <c r="K456" s="10" t="str">
        <f t="shared" si="55"/>
        <v/>
      </c>
      <c r="L456" s="10" t="str">
        <f t="shared" si="56"/>
        <v/>
      </c>
      <c r="M456" s="13"/>
      <c r="N456" s="13"/>
    </row>
    <row r="457" spans="5:14" x14ac:dyDescent="0.3">
      <c r="E457" s="15" t="str">
        <f t="shared" si="57"/>
        <v/>
      </c>
      <c r="F457" s="15" t="s">
        <v>38</v>
      </c>
      <c r="G457" s="15" t="str">
        <f t="shared" si="53"/>
        <v/>
      </c>
      <c r="H457" s="10" t="str">
        <f t="shared" si="51"/>
        <v/>
      </c>
      <c r="I457" s="10" t="str">
        <f t="shared" si="52"/>
        <v/>
      </c>
      <c r="J457" s="10" t="str">
        <f t="shared" si="54"/>
        <v/>
      </c>
      <c r="K457" s="10" t="str">
        <f t="shared" si="55"/>
        <v/>
      </c>
      <c r="L457" s="10" t="str">
        <f t="shared" si="56"/>
        <v/>
      </c>
      <c r="M457" s="13"/>
      <c r="N457" s="13"/>
    </row>
    <row r="458" spans="5:14" x14ac:dyDescent="0.3">
      <c r="E458" s="15" t="str">
        <f t="shared" si="57"/>
        <v/>
      </c>
      <c r="F458" s="15" t="s">
        <v>27</v>
      </c>
      <c r="G458" s="15" t="str">
        <f t="shared" si="53"/>
        <v/>
      </c>
      <c r="H458" s="10" t="str">
        <f t="shared" si="51"/>
        <v/>
      </c>
      <c r="I458" s="10" t="str">
        <f t="shared" si="52"/>
        <v/>
      </c>
      <c r="J458" s="10" t="str">
        <f t="shared" si="54"/>
        <v/>
      </c>
      <c r="K458" s="10" t="str">
        <f t="shared" si="55"/>
        <v/>
      </c>
      <c r="L458" s="10" t="str">
        <f t="shared" si="56"/>
        <v/>
      </c>
      <c r="M458" s="13"/>
      <c r="N458" s="13"/>
    </row>
    <row r="459" spans="5:14" x14ac:dyDescent="0.3">
      <c r="E459" s="15" t="str">
        <f t="shared" si="57"/>
        <v/>
      </c>
      <c r="F459" s="15" t="s">
        <v>28</v>
      </c>
      <c r="G459" s="15" t="str">
        <f t="shared" si="53"/>
        <v/>
      </c>
      <c r="H459" s="10" t="str">
        <f t="shared" si="51"/>
        <v/>
      </c>
      <c r="I459" s="10" t="str">
        <f t="shared" si="52"/>
        <v/>
      </c>
      <c r="J459" s="10" t="str">
        <f t="shared" si="54"/>
        <v/>
      </c>
      <c r="K459" s="10" t="str">
        <f t="shared" si="55"/>
        <v/>
      </c>
      <c r="L459" s="10" t="str">
        <f t="shared" si="56"/>
        <v/>
      </c>
      <c r="M459" s="13"/>
      <c r="N459" s="13"/>
    </row>
    <row r="460" spans="5:14" x14ac:dyDescent="0.3">
      <c r="E460" s="15" t="str">
        <f t="shared" si="57"/>
        <v/>
      </c>
      <c r="F460" s="15" t="s">
        <v>29</v>
      </c>
      <c r="G460" s="15" t="str">
        <f t="shared" si="53"/>
        <v/>
      </c>
      <c r="H460" s="10" t="str">
        <f t="shared" si="51"/>
        <v/>
      </c>
      <c r="I460" s="10" t="str">
        <f t="shared" si="52"/>
        <v/>
      </c>
      <c r="J460" s="10" t="str">
        <f t="shared" si="54"/>
        <v/>
      </c>
      <c r="K460" s="10" t="str">
        <f t="shared" si="55"/>
        <v/>
      </c>
      <c r="L460" s="10" t="str">
        <f t="shared" si="56"/>
        <v/>
      </c>
      <c r="M460" s="13"/>
      <c r="N460" s="13"/>
    </row>
    <row r="461" spans="5:14" x14ac:dyDescent="0.3">
      <c r="E461" s="15" t="str">
        <f t="shared" si="57"/>
        <v/>
      </c>
      <c r="F461" s="15" t="s">
        <v>30</v>
      </c>
      <c r="G461" s="15" t="str">
        <f t="shared" si="53"/>
        <v/>
      </c>
      <c r="H461" s="10" t="str">
        <f t="shared" si="51"/>
        <v/>
      </c>
      <c r="I461" s="10" t="str">
        <f t="shared" si="52"/>
        <v/>
      </c>
      <c r="J461" s="10" t="str">
        <f t="shared" si="54"/>
        <v/>
      </c>
      <c r="K461" s="10" t="str">
        <f t="shared" si="55"/>
        <v/>
      </c>
      <c r="L461" s="10" t="str">
        <f t="shared" si="56"/>
        <v/>
      </c>
      <c r="M461" s="13"/>
      <c r="N461" s="13"/>
    </row>
    <row r="462" spans="5:14" x14ac:dyDescent="0.3">
      <c r="E462" s="15" t="str">
        <f t="shared" si="57"/>
        <v/>
      </c>
      <c r="F462" s="15" t="s">
        <v>31</v>
      </c>
      <c r="G462" s="15" t="str">
        <f t="shared" si="53"/>
        <v/>
      </c>
      <c r="H462" s="10" t="str">
        <f t="shared" si="51"/>
        <v/>
      </c>
      <c r="I462" s="10" t="str">
        <f t="shared" si="52"/>
        <v/>
      </c>
      <c r="J462" s="10" t="str">
        <f t="shared" si="54"/>
        <v/>
      </c>
      <c r="K462" s="10" t="str">
        <f t="shared" si="55"/>
        <v/>
      </c>
      <c r="L462" s="10" t="str">
        <f t="shared" si="56"/>
        <v/>
      </c>
      <c r="M462" s="13"/>
      <c r="N462" s="13"/>
    </row>
    <row r="463" spans="5:14" x14ac:dyDescent="0.3">
      <c r="E463" s="15" t="str">
        <f t="shared" si="57"/>
        <v/>
      </c>
      <c r="F463" s="15" t="s">
        <v>32</v>
      </c>
      <c r="G463" s="15" t="str">
        <f t="shared" si="53"/>
        <v/>
      </c>
      <c r="H463" s="10" t="str">
        <f t="shared" si="51"/>
        <v/>
      </c>
      <c r="I463" s="10" t="str">
        <f t="shared" si="52"/>
        <v/>
      </c>
      <c r="J463" s="10" t="str">
        <f t="shared" si="54"/>
        <v/>
      </c>
      <c r="K463" s="10" t="str">
        <f t="shared" si="55"/>
        <v/>
      </c>
      <c r="L463" s="10" t="str">
        <f t="shared" si="56"/>
        <v/>
      </c>
      <c r="M463" s="13"/>
      <c r="N463" s="13"/>
    </row>
    <row r="464" spans="5:14" x14ac:dyDescent="0.3">
      <c r="E464" s="15" t="str">
        <f t="shared" si="57"/>
        <v/>
      </c>
      <c r="F464" s="15" t="s">
        <v>33</v>
      </c>
      <c r="G464" s="15" t="str">
        <f t="shared" si="53"/>
        <v/>
      </c>
      <c r="H464" s="10" t="str">
        <f t="shared" si="51"/>
        <v/>
      </c>
      <c r="I464" s="10" t="str">
        <f t="shared" si="52"/>
        <v/>
      </c>
      <c r="J464" s="10" t="str">
        <f t="shared" si="54"/>
        <v/>
      </c>
      <c r="K464" s="10" t="str">
        <f t="shared" si="55"/>
        <v/>
      </c>
      <c r="L464" s="10" t="str">
        <f t="shared" si="56"/>
        <v/>
      </c>
      <c r="M464" s="13"/>
      <c r="N464" s="13"/>
    </row>
    <row r="465" spans="5:14" x14ac:dyDescent="0.3">
      <c r="E465" s="15" t="str">
        <f t="shared" si="57"/>
        <v/>
      </c>
      <c r="F465" s="15" t="s">
        <v>34</v>
      </c>
      <c r="G465" s="15" t="str">
        <f t="shared" si="53"/>
        <v/>
      </c>
      <c r="H465" s="10" t="str">
        <f t="shared" si="51"/>
        <v/>
      </c>
      <c r="I465" s="10" t="str">
        <f t="shared" si="52"/>
        <v/>
      </c>
      <c r="J465" s="10" t="str">
        <f t="shared" si="54"/>
        <v/>
      </c>
      <c r="K465" s="10" t="str">
        <f t="shared" si="55"/>
        <v/>
      </c>
      <c r="L465" s="10" t="str">
        <f t="shared" si="56"/>
        <v/>
      </c>
      <c r="M465" s="13"/>
      <c r="N465" s="13"/>
    </row>
    <row r="466" spans="5:14" x14ac:dyDescent="0.3">
      <c r="E466" s="15" t="str">
        <f t="shared" si="57"/>
        <v/>
      </c>
      <c r="F466" s="15" t="s">
        <v>35</v>
      </c>
      <c r="G466" s="15" t="str">
        <f t="shared" si="53"/>
        <v/>
      </c>
      <c r="H466" s="10" t="str">
        <f t="shared" si="51"/>
        <v/>
      </c>
      <c r="I466" s="10" t="str">
        <f t="shared" si="52"/>
        <v/>
      </c>
      <c r="J466" s="10" t="str">
        <f t="shared" si="54"/>
        <v/>
      </c>
      <c r="K466" s="10" t="str">
        <f t="shared" si="55"/>
        <v/>
      </c>
      <c r="L466" s="10" t="str">
        <f t="shared" si="56"/>
        <v/>
      </c>
      <c r="M466" s="13"/>
      <c r="N466" s="13"/>
    </row>
    <row r="467" spans="5:14" x14ac:dyDescent="0.3">
      <c r="E467" s="15" t="str">
        <f t="shared" si="57"/>
        <v/>
      </c>
      <c r="F467" s="15" t="s">
        <v>36</v>
      </c>
      <c r="G467" s="15" t="str">
        <f t="shared" si="53"/>
        <v/>
      </c>
      <c r="H467" s="10" t="str">
        <f t="shared" si="51"/>
        <v/>
      </c>
      <c r="I467" s="10" t="str">
        <f t="shared" si="52"/>
        <v/>
      </c>
      <c r="J467" s="10" t="str">
        <f t="shared" si="54"/>
        <v/>
      </c>
      <c r="K467" s="10" t="str">
        <f t="shared" si="55"/>
        <v/>
      </c>
      <c r="L467" s="10" t="str">
        <f t="shared" si="56"/>
        <v/>
      </c>
      <c r="M467" s="13"/>
      <c r="N467" s="13"/>
    </row>
    <row r="468" spans="5:14" x14ac:dyDescent="0.3">
      <c r="E468" s="15" t="str">
        <f t="shared" si="57"/>
        <v/>
      </c>
      <c r="F468" s="15" t="s">
        <v>37</v>
      </c>
      <c r="G468" s="15" t="str">
        <f t="shared" si="53"/>
        <v/>
      </c>
      <c r="H468" s="10" t="str">
        <f t="shared" si="51"/>
        <v/>
      </c>
      <c r="I468" s="10" t="str">
        <f t="shared" si="52"/>
        <v/>
      </c>
      <c r="J468" s="10" t="str">
        <f t="shared" si="54"/>
        <v/>
      </c>
      <c r="K468" s="10" t="str">
        <f t="shared" si="55"/>
        <v/>
      </c>
      <c r="L468" s="10" t="str">
        <f t="shared" si="56"/>
        <v/>
      </c>
      <c r="M468" s="13"/>
      <c r="N468" s="13"/>
    </row>
    <row r="469" spans="5:14" x14ac:dyDescent="0.3">
      <c r="E469" s="15" t="str">
        <f t="shared" si="57"/>
        <v/>
      </c>
      <c r="F469" s="15" t="s">
        <v>38</v>
      </c>
      <c r="G469" s="15" t="str">
        <f t="shared" si="53"/>
        <v/>
      </c>
      <c r="H469" s="10" t="str">
        <f t="shared" si="51"/>
        <v/>
      </c>
      <c r="I469" s="10" t="str">
        <f t="shared" si="52"/>
        <v/>
      </c>
      <c r="J469" s="10" t="str">
        <f t="shared" si="54"/>
        <v/>
      </c>
      <c r="K469" s="10" t="str">
        <f t="shared" si="55"/>
        <v/>
      </c>
      <c r="L469" s="10" t="str">
        <f t="shared" si="56"/>
        <v/>
      </c>
      <c r="M469" s="13"/>
      <c r="N469" s="13"/>
    </row>
    <row r="470" spans="5:14" x14ac:dyDescent="0.3">
      <c r="E470" s="15" t="str">
        <f t="shared" si="57"/>
        <v/>
      </c>
      <c r="F470" s="15" t="s">
        <v>27</v>
      </c>
      <c r="G470" s="15" t="str">
        <f t="shared" si="53"/>
        <v/>
      </c>
      <c r="H470" s="10" t="str">
        <f t="shared" si="51"/>
        <v/>
      </c>
      <c r="I470" s="10" t="str">
        <f t="shared" si="52"/>
        <v/>
      </c>
      <c r="J470" s="10" t="str">
        <f t="shared" si="54"/>
        <v/>
      </c>
      <c r="K470" s="10" t="str">
        <f t="shared" si="55"/>
        <v/>
      </c>
      <c r="L470" s="10" t="str">
        <f t="shared" si="56"/>
        <v/>
      </c>
      <c r="M470" s="13"/>
      <c r="N470" s="13"/>
    </row>
    <row r="471" spans="5:14" x14ac:dyDescent="0.3">
      <c r="E471" s="15" t="str">
        <f t="shared" si="57"/>
        <v/>
      </c>
      <c r="F471" s="15" t="s">
        <v>28</v>
      </c>
      <c r="G471" s="15" t="str">
        <f t="shared" si="53"/>
        <v/>
      </c>
      <c r="H471" s="10" t="str">
        <f t="shared" si="51"/>
        <v/>
      </c>
      <c r="I471" s="10" t="str">
        <f t="shared" si="52"/>
        <v/>
      </c>
      <c r="J471" s="10" t="str">
        <f t="shared" si="54"/>
        <v/>
      </c>
      <c r="K471" s="10" t="str">
        <f t="shared" si="55"/>
        <v/>
      </c>
      <c r="L471" s="10" t="str">
        <f t="shared" si="56"/>
        <v/>
      </c>
      <c r="M471" s="13"/>
      <c r="N471" s="13"/>
    </row>
    <row r="472" spans="5:14" x14ac:dyDescent="0.3">
      <c r="E472" s="15" t="str">
        <f t="shared" si="57"/>
        <v/>
      </c>
      <c r="F472" s="15" t="s">
        <v>29</v>
      </c>
      <c r="G472" s="15" t="str">
        <f t="shared" si="53"/>
        <v/>
      </c>
      <c r="H472" s="10" t="str">
        <f t="shared" si="51"/>
        <v/>
      </c>
      <c r="I472" s="10" t="str">
        <f t="shared" si="52"/>
        <v/>
      </c>
      <c r="J472" s="10" t="str">
        <f t="shared" si="54"/>
        <v/>
      </c>
      <c r="K472" s="10" t="str">
        <f t="shared" si="55"/>
        <v/>
      </c>
      <c r="L472" s="10" t="str">
        <f t="shared" si="56"/>
        <v/>
      </c>
      <c r="M472" s="13"/>
      <c r="N472" s="13"/>
    </row>
    <row r="473" spans="5:14" x14ac:dyDescent="0.3">
      <c r="E473" s="15" t="str">
        <f t="shared" si="57"/>
        <v/>
      </c>
      <c r="F473" s="15" t="s">
        <v>30</v>
      </c>
      <c r="G473" s="15" t="str">
        <f t="shared" si="53"/>
        <v/>
      </c>
      <c r="H473" s="10" t="str">
        <f t="shared" si="51"/>
        <v/>
      </c>
      <c r="I473" s="10" t="str">
        <f t="shared" si="52"/>
        <v/>
      </c>
      <c r="J473" s="10" t="str">
        <f t="shared" si="54"/>
        <v/>
      </c>
      <c r="K473" s="10" t="str">
        <f t="shared" si="55"/>
        <v/>
      </c>
      <c r="L473" s="10" t="str">
        <f t="shared" si="56"/>
        <v/>
      </c>
      <c r="M473" s="13"/>
      <c r="N473" s="13"/>
    </row>
    <row r="474" spans="5:14" x14ac:dyDescent="0.3">
      <c r="E474" s="15" t="str">
        <f t="shared" si="57"/>
        <v/>
      </c>
      <c r="F474" s="15" t="s">
        <v>31</v>
      </c>
      <c r="G474" s="15" t="str">
        <f t="shared" si="53"/>
        <v/>
      </c>
      <c r="H474" s="10" t="str">
        <f t="shared" si="51"/>
        <v/>
      </c>
      <c r="I474" s="10" t="str">
        <f t="shared" si="52"/>
        <v/>
      </c>
      <c r="J474" s="10" t="str">
        <f t="shared" si="54"/>
        <v/>
      </c>
      <c r="K474" s="10" t="str">
        <f t="shared" si="55"/>
        <v/>
      </c>
      <c r="L474" s="10" t="str">
        <f t="shared" si="56"/>
        <v/>
      </c>
      <c r="M474" s="13"/>
      <c r="N474" s="13"/>
    </row>
    <row r="475" spans="5:14" x14ac:dyDescent="0.3">
      <c r="E475" s="15" t="str">
        <f t="shared" si="57"/>
        <v/>
      </c>
      <c r="F475" s="15" t="s">
        <v>32</v>
      </c>
      <c r="G475" s="15" t="str">
        <f t="shared" si="53"/>
        <v/>
      </c>
      <c r="H475" s="10" t="str">
        <f t="shared" si="51"/>
        <v/>
      </c>
      <c r="I475" s="10" t="str">
        <f t="shared" si="52"/>
        <v/>
      </c>
      <c r="J475" s="10" t="str">
        <f t="shared" si="54"/>
        <v/>
      </c>
      <c r="K475" s="10" t="str">
        <f t="shared" si="55"/>
        <v/>
      </c>
      <c r="L475" s="10" t="str">
        <f t="shared" si="56"/>
        <v/>
      </c>
      <c r="M475" s="13"/>
      <c r="N475" s="13"/>
    </row>
    <row r="476" spans="5:14" x14ac:dyDescent="0.3">
      <c r="E476" s="15" t="str">
        <f t="shared" si="57"/>
        <v/>
      </c>
      <c r="F476" s="15" t="s">
        <v>33</v>
      </c>
      <c r="G476" s="15" t="str">
        <f t="shared" si="53"/>
        <v/>
      </c>
      <c r="H476" s="10" t="str">
        <f t="shared" si="51"/>
        <v/>
      </c>
      <c r="I476" s="10" t="str">
        <f t="shared" si="52"/>
        <v/>
      </c>
      <c r="J476" s="10" t="str">
        <f t="shared" si="54"/>
        <v/>
      </c>
      <c r="K476" s="10" t="str">
        <f t="shared" si="55"/>
        <v/>
      </c>
      <c r="L476" s="10" t="str">
        <f t="shared" si="56"/>
        <v/>
      </c>
      <c r="M476" s="13"/>
      <c r="N476" s="13"/>
    </row>
    <row r="477" spans="5:14" x14ac:dyDescent="0.3">
      <c r="E477" s="15" t="str">
        <f t="shared" si="57"/>
        <v/>
      </c>
      <c r="F477" s="15" t="s">
        <v>34</v>
      </c>
      <c r="G477" s="15" t="str">
        <f t="shared" si="53"/>
        <v/>
      </c>
      <c r="H477" s="10" t="str">
        <f t="shared" si="51"/>
        <v/>
      </c>
      <c r="I477" s="10" t="str">
        <f t="shared" si="52"/>
        <v/>
      </c>
      <c r="J477" s="10" t="str">
        <f t="shared" si="54"/>
        <v/>
      </c>
      <c r="K477" s="10" t="str">
        <f t="shared" si="55"/>
        <v/>
      </c>
      <c r="L477" s="10" t="str">
        <f t="shared" si="56"/>
        <v/>
      </c>
      <c r="M477" s="13"/>
      <c r="N477" s="13"/>
    </row>
    <row r="478" spans="5:14" x14ac:dyDescent="0.3">
      <c r="E478" s="15" t="str">
        <f t="shared" si="57"/>
        <v/>
      </c>
      <c r="F478" s="15" t="s">
        <v>35</v>
      </c>
      <c r="G478" s="15" t="str">
        <f t="shared" si="53"/>
        <v/>
      </c>
      <c r="H478" s="10" t="str">
        <f t="shared" si="51"/>
        <v/>
      </c>
      <c r="I478" s="10" t="str">
        <f t="shared" si="52"/>
        <v/>
      </c>
      <c r="J478" s="10" t="str">
        <f t="shared" si="54"/>
        <v/>
      </c>
      <c r="K478" s="10" t="str">
        <f t="shared" si="55"/>
        <v/>
      </c>
      <c r="L478" s="10" t="str">
        <f t="shared" si="56"/>
        <v/>
      </c>
      <c r="M478" s="13"/>
      <c r="N478" s="13"/>
    </row>
    <row r="479" spans="5:14" x14ac:dyDescent="0.3">
      <c r="E479" s="15" t="str">
        <f t="shared" si="57"/>
        <v/>
      </c>
      <c r="F479" s="15" t="s">
        <v>36</v>
      </c>
      <c r="G479" s="15" t="str">
        <f t="shared" si="53"/>
        <v/>
      </c>
      <c r="H479" s="10" t="str">
        <f t="shared" si="51"/>
        <v/>
      </c>
      <c r="I479" s="10" t="str">
        <f t="shared" si="52"/>
        <v/>
      </c>
      <c r="J479" s="10" t="str">
        <f t="shared" si="54"/>
        <v/>
      </c>
      <c r="K479" s="10" t="str">
        <f t="shared" si="55"/>
        <v/>
      </c>
      <c r="L479" s="10" t="str">
        <f t="shared" si="56"/>
        <v/>
      </c>
      <c r="M479" s="13"/>
      <c r="N479" s="13"/>
    </row>
    <row r="480" spans="5:14" x14ac:dyDescent="0.3">
      <c r="E480" s="15" t="str">
        <f t="shared" si="57"/>
        <v/>
      </c>
      <c r="F480" s="15" t="s">
        <v>37</v>
      </c>
      <c r="G480" s="15" t="str">
        <f t="shared" si="53"/>
        <v/>
      </c>
      <c r="H480" s="10" t="str">
        <f t="shared" si="51"/>
        <v/>
      </c>
      <c r="I480" s="10" t="str">
        <f t="shared" si="52"/>
        <v/>
      </c>
      <c r="J480" s="10" t="str">
        <f t="shared" si="54"/>
        <v/>
      </c>
      <c r="K480" s="10" t="str">
        <f t="shared" si="55"/>
        <v/>
      </c>
      <c r="L480" s="10" t="str">
        <f t="shared" si="56"/>
        <v/>
      </c>
      <c r="M480" s="13"/>
      <c r="N480" s="13"/>
    </row>
    <row r="481" spans="5:14" x14ac:dyDescent="0.3">
      <c r="E481" s="15" t="str">
        <f t="shared" si="57"/>
        <v/>
      </c>
      <c r="F481" s="15" t="s">
        <v>38</v>
      </c>
      <c r="G481" s="15" t="str">
        <f t="shared" si="53"/>
        <v/>
      </c>
      <c r="H481" s="10" t="str">
        <f t="shared" si="51"/>
        <v/>
      </c>
      <c r="I481" s="10" t="str">
        <f t="shared" si="52"/>
        <v/>
      </c>
      <c r="J481" s="10" t="str">
        <f t="shared" si="54"/>
        <v/>
      </c>
      <c r="K481" s="10" t="str">
        <f t="shared" si="55"/>
        <v/>
      </c>
      <c r="L481" s="10" t="str">
        <f t="shared" si="56"/>
        <v/>
      </c>
      <c r="M481" s="13"/>
      <c r="N481" s="13"/>
    </row>
    <row r="482" spans="5:14" x14ac:dyDescent="0.3">
      <c r="E482" s="15" t="str">
        <f t="shared" si="57"/>
        <v/>
      </c>
      <c r="F482" s="15" t="s">
        <v>27</v>
      </c>
      <c r="G482" s="15" t="str">
        <f t="shared" si="53"/>
        <v/>
      </c>
      <c r="H482" s="10" t="str">
        <f t="shared" si="51"/>
        <v/>
      </c>
      <c r="I482" s="10" t="str">
        <f t="shared" si="52"/>
        <v/>
      </c>
      <c r="J482" s="10" t="str">
        <f t="shared" si="54"/>
        <v/>
      </c>
      <c r="K482" s="10" t="str">
        <f t="shared" si="55"/>
        <v/>
      </c>
      <c r="L482" s="10" t="str">
        <f t="shared" si="56"/>
        <v/>
      </c>
      <c r="M482" s="13"/>
      <c r="N482" s="13"/>
    </row>
    <row r="483" spans="5:14" x14ac:dyDescent="0.3">
      <c r="E483" s="15" t="str">
        <f t="shared" si="57"/>
        <v/>
      </c>
      <c r="F483" s="15" t="s">
        <v>28</v>
      </c>
      <c r="G483" s="15" t="str">
        <f t="shared" si="53"/>
        <v/>
      </c>
      <c r="H483" s="10" t="str">
        <f t="shared" si="51"/>
        <v/>
      </c>
      <c r="I483" s="10" t="str">
        <f t="shared" si="52"/>
        <v/>
      </c>
      <c r="J483" s="10" t="str">
        <f t="shared" si="54"/>
        <v/>
      </c>
      <c r="K483" s="10" t="str">
        <f t="shared" si="55"/>
        <v/>
      </c>
      <c r="L483" s="10" t="str">
        <f t="shared" si="56"/>
        <v/>
      </c>
      <c r="M483" s="13"/>
      <c r="N483" s="13"/>
    </row>
    <row r="484" spans="5:14" x14ac:dyDescent="0.3">
      <c r="E484" s="15" t="str">
        <f t="shared" si="57"/>
        <v/>
      </c>
      <c r="F484" s="15" t="s">
        <v>29</v>
      </c>
      <c r="G484" s="15" t="str">
        <f t="shared" si="53"/>
        <v/>
      </c>
      <c r="H484" s="10" t="str">
        <f t="shared" si="51"/>
        <v/>
      </c>
      <c r="I484" s="10" t="str">
        <f t="shared" si="52"/>
        <v/>
      </c>
      <c r="J484" s="10" t="str">
        <f t="shared" si="54"/>
        <v/>
      </c>
      <c r="K484" s="10" t="str">
        <f t="shared" si="55"/>
        <v/>
      </c>
      <c r="L484" s="10" t="str">
        <f t="shared" si="56"/>
        <v/>
      </c>
      <c r="M484" s="13"/>
      <c r="N484" s="13"/>
    </row>
    <row r="485" spans="5:14" x14ac:dyDescent="0.3">
      <c r="E485" s="15" t="str">
        <f t="shared" si="57"/>
        <v/>
      </c>
      <c r="F485" s="15" t="s">
        <v>30</v>
      </c>
      <c r="G485" s="15" t="str">
        <f t="shared" si="53"/>
        <v/>
      </c>
      <c r="H485" s="10" t="str">
        <f t="shared" si="51"/>
        <v/>
      </c>
      <c r="I485" s="10" t="str">
        <f t="shared" si="52"/>
        <v/>
      </c>
      <c r="J485" s="10" t="str">
        <f t="shared" si="54"/>
        <v/>
      </c>
      <c r="K485" s="10" t="str">
        <f t="shared" si="55"/>
        <v/>
      </c>
      <c r="L485" s="10" t="str">
        <f t="shared" si="56"/>
        <v/>
      </c>
      <c r="M485" s="13"/>
      <c r="N485" s="13"/>
    </row>
    <row r="486" spans="5:14" x14ac:dyDescent="0.3">
      <c r="E486" s="15" t="str">
        <f t="shared" si="57"/>
        <v/>
      </c>
      <c r="F486" s="15" t="s">
        <v>31</v>
      </c>
      <c r="G486" s="15" t="str">
        <f t="shared" si="53"/>
        <v/>
      </c>
      <c r="H486" s="10" t="str">
        <f t="shared" si="51"/>
        <v/>
      </c>
      <c r="I486" s="10" t="str">
        <f t="shared" si="52"/>
        <v/>
      </c>
      <c r="J486" s="10" t="str">
        <f t="shared" si="54"/>
        <v/>
      </c>
      <c r="K486" s="10" t="str">
        <f t="shared" si="55"/>
        <v/>
      </c>
      <c r="L486" s="10" t="str">
        <f t="shared" si="56"/>
        <v/>
      </c>
      <c r="M486" s="13"/>
      <c r="N486" s="13"/>
    </row>
    <row r="487" spans="5:14" x14ac:dyDescent="0.3">
      <c r="E487" s="15" t="str">
        <f t="shared" si="57"/>
        <v/>
      </c>
      <c r="F487" s="15" t="s">
        <v>32</v>
      </c>
      <c r="G487" s="15" t="str">
        <f t="shared" si="53"/>
        <v/>
      </c>
      <c r="H487" s="10" t="str">
        <f t="shared" si="51"/>
        <v/>
      </c>
      <c r="I487" s="10" t="str">
        <f t="shared" si="52"/>
        <v/>
      </c>
      <c r="J487" s="10" t="str">
        <f t="shared" si="54"/>
        <v/>
      </c>
      <c r="K487" s="10" t="str">
        <f t="shared" si="55"/>
        <v/>
      </c>
      <c r="L487" s="10" t="str">
        <f t="shared" si="56"/>
        <v/>
      </c>
      <c r="M487" s="13"/>
      <c r="N487" s="13"/>
    </row>
    <row r="488" spans="5:14" x14ac:dyDescent="0.3">
      <c r="E488" s="15" t="str">
        <f t="shared" si="57"/>
        <v/>
      </c>
      <c r="F488" s="15" t="s">
        <v>33</v>
      </c>
      <c r="G488" s="15" t="str">
        <f t="shared" si="53"/>
        <v/>
      </c>
      <c r="H488" s="10" t="str">
        <f t="shared" si="51"/>
        <v/>
      </c>
      <c r="I488" s="10" t="str">
        <f t="shared" si="52"/>
        <v/>
      </c>
      <c r="J488" s="10" t="str">
        <f t="shared" si="54"/>
        <v/>
      </c>
      <c r="K488" s="10" t="str">
        <f t="shared" si="55"/>
        <v/>
      </c>
      <c r="L488" s="10" t="str">
        <f t="shared" si="56"/>
        <v/>
      </c>
      <c r="M488" s="13"/>
      <c r="N488" s="13"/>
    </row>
    <row r="489" spans="5:14" x14ac:dyDescent="0.3">
      <c r="E489" s="15" t="str">
        <f t="shared" si="57"/>
        <v/>
      </c>
      <c r="F489" s="15" t="s">
        <v>34</v>
      </c>
      <c r="G489" s="15" t="str">
        <f t="shared" si="53"/>
        <v/>
      </c>
      <c r="H489" s="10" t="str">
        <f t="shared" si="51"/>
        <v/>
      </c>
      <c r="I489" s="10" t="str">
        <f t="shared" si="52"/>
        <v/>
      </c>
      <c r="J489" s="10" t="str">
        <f t="shared" si="54"/>
        <v/>
      </c>
      <c r="K489" s="10" t="str">
        <f t="shared" si="55"/>
        <v/>
      </c>
      <c r="L489" s="10" t="str">
        <f t="shared" si="56"/>
        <v/>
      </c>
      <c r="M489" s="13"/>
      <c r="N489" s="13"/>
    </row>
    <row r="490" spans="5:14" x14ac:dyDescent="0.3">
      <c r="E490" s="15" t="str">
        <f t="shared" si="57"/>
        <v/>
      </c>
      <c r="F490" s="15" t="s">
        <v>35</v>
      </c>
      <c r="G490" s="15" t="str">
        <f t="shared" si="53"/>
        <v/>
      </c>
      <c r="H490" s="10" t="str">
        <f t="shared" si="51"/>
        <v/>
      </c>
      <c r="I490" s="10" t="str">
        <f t="shared" si="52"/>
        <v/>
      </c>
      <c r="J490" s="10" t="str">
        <f t="shared" si="54"/>
        <v/>
      </c>
      <c r="K490" s="10" t="str">
        <f t="shared" si="55"/>
        <v/>
      </c>
      <c r="L490" s="10" t="str">
        <f t="shared" si="56"/>
        <v/>
      </c>
      <c r="M490" s="13"/>
      <c r="N490" s="13"/>
    </row>
    <row r="491" spans="5:14" x14ac:dyDescent="0.3">
      <c r="E491" s="15" t="str">
        <f t="shared" si="57"/>
        <v/>
      </c>
      <c r="F491" s="15" t="s">
        <v>36</v>
      </c>
      <c r="G491" s="15" t="str">
        <f t="shared" si="53"/>
        <v/>
      </c>
      <c r="H491" s="10" t="str">
        <f t="shared" si="51"/>
        <v/>
      </c>
      <c r="I491" s="10" t="str">
        <f t="shared" si="52"/>
        <v/>
      </c>
      <c r="J491" s="10" t="str">
        <f t="shared" si="54"/>
        <v/>
      </c>
      <c r="K491" s="10" t="str">
        <f t="shared" si="55"/>
        <v/>
      </c>
      <c r="L491" s="10" t="str">
        <f t="shared" si="56"/>
        <v/>
      </c>
      <c r="M491" s="13"/>
      <c r="N491" s="13"/>
    </row>
    <row r="492" spans="5:14" x14ac:dyDescent="0.3">
      <c r="E492" s="15" t="str">
        <f t="shared" si="57"/>
        <v/>
      </c>
      <c r="F492" s="15" t="s">
        <v>37</v>
      </c>
      <c r="G492" s="15" t="str">
        <f t="shared" si="53"/>
        <v/>
      </c>
      <c r="H492" s="10" t="str">
        <f t="shared" si="51"/>
        <v/>
      </c>
      <c r="I492" s="10" t="str">
        <f t="shared" si="52"/>
        <v/>
      </c>
      <c r="J492" s="10" t="str">
        <f t="shared" si="54"/>
        <v/>
      </c>
      <c r="K492" s="10" t="str">
        <f t="shared" si="55"/>
        <v/>
      </c>
      <c r="L492" s="10" t="str">
        <f t="shared" si="56"/>
        <v/>
      </c>
      <c r="M492" s="13"/>
      <c r="N492" s="13"/>
    </row>
    <row r="493" spans="5:14" x14ac:dyDescent="0.3">
      <c r="E493" s="15" t="str">
        <f t="shared" si="57"/>
        <v/>
      </c>
      <c r="F493" s="15" t="s">
        <v>38</v>
      </c>
      <c r="G493" s="15" t="str">
        <f t="shared" si="53"/>
        <v/>
      </c>
      <c r="H493" s="10" t="str">
        <f t="shared" si="51"/>
        <v/>
      </c>
      <c r="I493" s="10" t="str">
        <f t="shared" si="52"/>
        <v/>
      </c>
      <c r="J493" s="10" t="str">
        <f t="shared" si="54"/>
        <v/>
      </c>
      <c r="K493" s="10" t="str">
        <f t="shared" si="55"/>
        <v/>
      </c>
      <c r="L493" s="10" t="str">
        <f t="shared" si="56"/>
        <v/>
      </c>
      <c r="M493" s="13"/>
      <c r="N493" s="13"/>
    </row>
    <row r="494" spans="5:14" x14ac:dyDescent="0.3">
      <c r="E494" s="15" t="str">
        <f t="shared" si="57"/>
        <v/>
      </c>
      <c r="F494" s="15" t="s">
        <v>27</v>
      </c>
      <c r="G494" s="15" t="str">
        <f t="shared" si="53"/>
        <v/>
      </c>
      <c r="H494" s="10" t="str">
        <f t="shared" si="51"/>
        <v/>
      </c>
      <c r="I494" s="10" t="str">
        <f t="shared" si="52"/>
        <v/>
      </c>
      <c r="J494" s="10" t="str">
        <f t="shared" si="54"/>
        <v/>
      </c>
      <c r="K494" s="10" t="str">
        <f t="shared" si="55"/>
        <v/>
      </c>
      <c r="L494" s="10" t="str">
        <f t="shared" si="56"/>
        <v/>
      </c>
      <c r="M494" s="13"/>
      <c r="N494" s="13"/>
    </row>
    <row r="495" spans="5:14" x14ac:dyDescent="0.3">
      <c r="E495" s="15" t="str">
        <f t="shared" si="57"/>
        <v/>
      </c>
      <c r="F495" s="15" t="s">
        <v>28</v>
      </c>
      <c r="G495" s="15" t="str">
        <f t="shared" si="53"/>
        <v/>
      </c>
      <c r="H495" s="10" t="str">
        <f t="shared" ref="H495:H500" si="58">IF(G495&lt;=$B$18,PMT($B$9,$B$18-G494,-K494)+M495,"")</f>
        <v/>
      </c>
      <c r="I495" s="10" t="str">
        <f t="shared" ref="I495:I500" si="59">IF(G495&lt;=$B$18,K494*$B$9,"")</f>
        <v/>
      </c>
      <c r="J495" s="10" t="str">
        <f t="shared" si="54"/>
        <v/>
      </c>
      <c r="K495" s="10" t="str">
        <f t="shared" si="55"/>
        <v/>
      </c>
      <c r="L495" s="10" t="str">
        <f t="shared" si="56"/>
        <v/>
      </c>
      <c r="M495" s="13"/>
      <c r="N495" s="13"/>
    </row>
    <row r="496" spans="5:14" x14ac:dyDescent="0.3">
      <c r="E496" s="15" t="str">
        <f t="shared" si="57"/>
        <v/>
      </c>
      <c r="F496" s="15" t="s">
        <v>29</v>
      </c>
      <c r="G496" s="15" t="str">
        <f t="shared" si="53"/>
        <v/>
      </c>
      <c r="H496" s="10" t="str">
        <f t="shared" si="58"/>
        <v/>
      </c>
      <c r="I496" s="10" t="str">
        <f t="shared" si="59"/>
        <v/>
      </c>
      <c r="J496" s="10" t="str">
        <f t="shared" si="54"/>
        <v/>
      </c>
      <c r="K496" s="10" t="str">
        <f t="shared" si="55"/>
        <v/>
      </c>
      <c r="L496" s="10" t="str">
        <f t="shared" si="56"/>
        <v/>
      </c>
      <c r="M496" s="13"/>
      <c r="N496" s="13"/>
    </row>
    <row r="497" spans="5:14" x14ac:dyDescent="0.3">
      <c r="E497" s="15" t="str">
        <f t="shared" si="57"/>
        <v/>
      </c>
      <c r="F497" s="15" t="s">
        <v>30</v>
      </c>
      <c r="G497" s="15" t="str">
        <f t="shared" si="53"/>
        <v/>
      </c>
      <c r="H497" s="10" t="str">
        <f t="shared" si="58"/>
        <v/>
      </c>
      <c r="I497" s="10" t="str">
        <f t="shared" si="59"/>
        <v/>
      </c>
      <c r="J497" s="10" t="str">
        <f t="shared" si="54"/>
        <v/>
      </c>
      <c r="K497" s="10" t="str">
        <f t="shared" si="55"/>
        <v/>
      </c>
      <c r="L497" s="10" t="str">
        <f t="shared" si="56"/>
        <v/>
      </c>
      <c r="M497" s="13"/>
      <c r="N497" s="13"/>
    </row>
    <row r="498" spans="5:14" x14ac:dyDescent="0.3">
      <c r="E498" s="15" t="str">
        <f>IF(G497&gt;=$B$18,"",INT(G497/12)+1)</f>
        <v/>
      </c>
      <c r="F498" s="15" t="s">
        <v>31</v>
      </c>
      <c r="G498" s="15" t="str">
        <f t="shared" si="53"/>
        <v/>
      </c>
      <c r="H498" s="10" t="str">
        <f t="shared" si="58"/>
        <v/>
      </c>
      <c r="I498" s="10" t="str">
        <f t="shared" si="59"/>
        <v/>
      </c>
      <c r="J498" s="10" t="str">
        <f t="shared" si="54"/>
        <v/>
      </c>
      <c r="K498" s="10" t="str">
        <f t="shared" si="55"/>
        <v/>
      </c>
      <c r="L498" s="10" t="str">
        <f t="shared" si="56"/>
        <v/>
      </c>
      <c r="M498" s="13"/>
      <c r="N498" s="13"/>
    </row>
    <row r="499" spans="5:14" x14ac:dyDescent="0.3">
      <c r="E499" s="15" t="str">
        <f t="shared" si="57"/>
        <v/>
      </c>
      <c r="F499" s="15" t="s">
        <v>32</v>
      </c>
      <c r="G499" s="15" t="str">
        <f t="shared" si="53"/>
        <v/>
      </c>
      <c r="H499" s="10" t="str">
        <f t="shared" si="58"/>
        <v/>
      </c>
      <c r="I499" s="10" t="str">
        <f t="shared" si="59"/>
        <v/>
      </c>
      <c r="J499" s="10" t="str">
        <f t="shared" si="54"/>
        <v/>
      </c>
      <c r="K499" s="10" t="str">
        <f t="shared" si="55"/>
        <v/>
      </c>
      <c r="L499" s="10" t="str">
        <f t="shared" si="56"/>
        <v/>
      </c>
      <c r="M499" s="13"/>
      <c r="N499" s="13"/>
    </row>
    <row r="500" spans="5:14" x14ac:dyDescent="0.3">
      <c r="E500" s="15" t="str">
        <f t="shared" si="57"/>
        <v/>
      </c>
      <c r="F500" s="15" t="s">
        <v>33</v>
      </c>
      <c r="G500" s="15" t="str">
        <f t="shared" si="53"/>
        <v/>
      </c>
      <c r="H500" s="10" t="str">
        <f t="shared" si="58"/>
        <v/>
      </c>
      <c r="I500" s="10" t="str">
        <f t="shared" si="59"/>
        <v/>
      </c>
      <c r="J500" s="10" t="str">
        <f t="shared" si="54"/>
        <v/>
      </c>
      <c r="K500" s="10" t="str">
        <f t="shared" si="55"/>
        <v/>
      </c>
      <c r="L500" s="10" t="str">
        <f t="shared" si="56"/>
        <v/>
      </c>
      <c r="M500" s="13"/>
      <c r="N500" s="13"/>
    </row>
  </sheetData>
  <mergeCells count="2">
    <mergeCell ref="A1:D1"/>
    <mergeCell ref="A21:B21"/>
  </mergeCells>
  <conditionalFormatting sqref="I2:I50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{69F7136A-4BBF-4749-8295-B48D0A28C52D}</x14:id>
        </ext>
      </extLst>
    </cfRule>
  </conditionalFormatting>
  <conditionalFormatting sqref="J3:J50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{87DB18A4-B802-44C0-B85D-0A2682BFB37A}</x14:id>
        </ext>
      </extLst>
    </cfRule>
  </conditionalFormatting>
  <dataValidations count="1">
    <dataValidation type="list" allowBlank="1" showInputMessage="1" showErrorMessage="1" sqref="B16" xr:uid="{00000000-0002-0000-0000-000000000000}">
      <formula1>"Mensual,Bimensual,Trimestral,Cuatrimestral,Semestral,Anual"</formula1>
    </dataValidation>
  </dataValidation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0" r:id="rId3" name="ScrollBar2">
          <controlPr defaultSize="0" autoLine="0" linkedCell="C12" r:id="rId4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1074420</xdr:colOff>
                <xdr:row>13</xdr:row>
                <xdr:rowOff>15240</xdr:rowOff>
              </to>
            </anchor>
          </controlPr>
        </control>
      </mc:Choice>
      <mc:Fallback>
        <control shapeId="2050" r:id="rId3" name="ScrollBar2"/>
      </mc:Fallback>
    </mc:AlternateContent>
    <mc:AlternateContent xmlns:mc="http://schemas.openxmlformats.org/markup-compatibility/2006">
      <mc:Choice Requires="x14">
        <control shapeId="2049" r:id="rId5" name="ScrollBar1">
          <controlPr defaultSize="0" autoLine="0" linkedCell="A3" r:id="rId6">
            <anchor moveWithCells="1">
              <from>
                <xdr:col>1</xdr:col>
                <xdr:colOff>7620</xdr:colOff>
                <xdr:row>2</xdr:row>
                <xdr:rowOff>0</xdr:rowOff>
              </from>
              <to>
                <xdr:col>1</xdr:col>
                <xdr:colOff>1074420</xdr:colOff>
                <xdr:row>3</xdr:row>
                <xdr:rowOff>22860</xdr:rowOff>
              </to>
            </anchor>
          </controlPr>
        </control>
      </mc:Choice>
      <mc:Fallback>
        <control shapeId="2049" r:id="rId5" name="ScrollBar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F7136A-4BBF-4749-8295-B48D0A28C5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I2:I500</xm:sqref>
        </x14:conditionalFormatting>
        <x14:conditionalFormatting xmlns:xm="http://schemas.microsoft.com/office/excel/2006/main">
          <x14:cfRule type="dataBar" id="{87DB18A4-B802-44C0-B85D-0A2682BFB3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TRACID</dc:creator>
  <cp:lastModifiedBy>Ruben Alonso</cp:lastModifiedBy>
  <dcterms:created xsi:type="dcterms:W3CDTF">2012-12-01T12:26:33Z</dcterms:created>
  <dcterms:modified xsi:type="dcterms:W3CDTF">2026-01-26T13:59:55Z</dcterms:modified>
</cp:coreProperties>
</file>